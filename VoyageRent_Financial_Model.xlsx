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UNIT ECONOMICS" sheetId="2" state="visible" r:id="rId2"/>
    <sheet name="FLEET PERFORMANCE" sheetId="3" state="visible" r:id="rId3"/>
    <sheet name="REVENUE FORECAST" sheetId="4" state="visible" r:id="rId4"/>
    <sheet name="P&amp;L" sheetId="5" state="visible" r:id="rId5"/>
    <sheet name="CASH FLOW" sheetId="6" state="visible" r:id="rId6"/>
    <sheet name="DASHBOARD" sheetId="7" state="visible" r:id="rId7"/>
    <sheet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"/>
    <numFmt numFmtId="165" formatCode="0.0%"/>
    <numFmt numFmtId="166" formatCode="#,##0.00 €"/>
    <numFmt numFmtId="167" formatCode="0.0"/>
    <numFmt numFmtId="168" formatCode="0.0 &quot;мес.&quot;"/>
  </numFmts>
  <fonts count="13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color rgb="001B3A5C"/>
      <sz val="11"/>
    </font>
    <font>
      <name val="Calibri"/>
      <sz val="11"/>
    </font>
    <font>
      <name val="Calibri"/>
      <color rgb="00000000"/>
      <sz val="11"/>
    </font>
    <font>
      <name val="Calibri"/>
      <i val="1"/>
      <color rgb="00888888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sz val="11"/>
    </font>
    <font>
      <name val="Calibri"/>
      <b val="1"/>
      <color rgb="001B3A5C"/>
      <sz val="18"/>
    </font>
    <font>
      <name val="Calibri"/>
      <b val="1"/>
      <color rgb="00006100"/>
      <sz val="12"/>
    </font>
  </fonts>
  <fills count="1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FCE4D6"/>
        <bgColor rgb="00FCE4D6"/>
      </patternFill>
    </fill>
    <fill>
      <patternFill patternType="solid">
        <fgColor rgb="00ED7D31"/>
        <bgColor rgb="00ED7D31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  <xf numFmtId="3" fontId="6" fillId="4" borderId="1" pivotButton="0" quotePrefix="0" xfId="0"/>
    <xf numFmtId="0" fontId="7" fillId="0" borderId="1" pivotButton="0" quotePrefix="0" xfId="0"/>
    <xf numFmtId="164" fontId="6" fillId="4" borderId="1" pivotButton="0" quotePrefix="0" xfId="0"/>
    <xf numFmtId="0" fontId="6" fillId="4" borderId="1" pivotButton="0" quotePrefix="0" xfId="0"/>
    <xf numFmtId="165" fontId="6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166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67" fontId="4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3" fontId="10" fillId="0" borderId="0" pivotButton="0" quotePrefix="0" xfId="0"/>
    <xf numFmtId="164" fontId="0" fillId="0" borderId="0" pivotButton="0" quotePrefix="0" xfId="0"/>
    <xf numFmtId="164" fontId="10" fillId="0" borderId="0" pivotButton="0" quotePrefix="0" xfId="0"/>
    <xf numFmtId="0" fontId="0" fillId="0" borderId="1" pivotButton="0" quotePrefix="0" xfId="0"/>
    <xf numFmtId="164" fontId="10" fillId="0" borderId="1" pivotButton="0" quotePrefix="0" xfId="0"/>
    <xf numFmtId="0" fontId="3" fillId="9" borderId="1" applyAlignment="1" pivotButton="0" quotePrefix="0" xfId="0">
      <alignment horizontal="center" vertical="center" wrapText="1"/>
    </xf>
    <xf numFmtId="166" fontId="0" fillId="0" borderId="1" pivotButton="0" quotePrefix="0" xfId="0"/>
    <xf numFmtId="165" fontId="0" fillId="0" borderId="1" pivotButton="0" quotePrefix="0" xfId="0"/>
    <xf numFmtId="165" fontId="4" fillId="3" borderId="1" pivotButton="0" quotePrefix="0" xfId="0"/>
    <xf numFmtId="0" fontId="3" fillId="10" borderId="1" applyAlignment="1" pivotButton="0" quotePrefix="0" xfId="0">
      <alignment horizontal="center" vertical="center" wrapText="1"/>
    </xf>
    <xf numFmtId="164" fontId="0" fillId="4" borderId="0" pivotButton="0" quotePrefix="0" xfId="0"/>
    <xf numFmtId="0" fontId="8" fillId="5" borderId="0" pivotButton="0" quotePrefix="0" xfId="0"/>
    <xf numFmtId="0" fontId="0" fillId="5" borderId="0" pivotButton="0" quotePrefix="0" xfId="0"/>
    <xf numFmtId="0" fontId="0" fillId="11" borderId="0" pivotButton="0" quotePrefix="0" xfId="0"/>
    <xf numFmtId="3" fontId="11" fillId="11" borderId="0" pivotButton="0" quotePrefix="0" xfId="0"/>
    <xf numFmtId="165" fontId="11" fillId="11" borderId="0" pivotButton="0" quotePrefix="0" xfId="0"/>
    <xf numFmtId="166" fontId="11" fillId="11" borderId="0" pivotButton="0" quotePrefix="0" xfId="0"/>
    <xf numFmtId="164" fontId="11" fillId="11" borderId="0" pivotButton="0" quotePrefix="0" xfId="0"/>
    <xf numFmtId="168" fontId="11" fillId="11" borderId="0" pivotButton="0" quotePrefix="0" xfId="0"/>
    <xf numFmtId="167" fontId="11" fillId="11" borderId="0" pivotButton="0" quotePrefix="0" xfId="0"/>
    <xf numFmtId="0" fontId="8" fillId="12" borderId="1" applyAlignment="1" pivotButton="0" quotePrefix="0" xfId="0">
      <alignment horizontal="center" vertical="center" wrapText="1"/>
    </xf>
    <xf numFmtId="164" fontId="4" fillId="6" borderId="1" pivotButton="0" quotePrefix="0" xfId="0"/>
    <xf numFmtId="164" fontId="12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Месячная выручка (net)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'REVENUE FORECAST'!$C$3:$N$3</f>
            </numRef>
          </cat>
          <val>
            <numRef>
              <f>'REVENUE FORECAST'!$C$13:$N$13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EBITDA по месяцам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FORECAST'!$C$3:$N$3</f>
            </numRef>
          </cat>
          <val>
            <numRef>
              <f>'REVENUE FORECAST'!$C$24:$N$24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Структура расходов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'DASHBOARD'!$B$50:$B$52</f>
            </numRef>
          </cat>
          <val>
            <numRef>
              <f>'DASHBOARD'!$C$50:$C$52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Сравнение сценариев — EBITDA и Чистая прибыль</a:t>
            </a:r>
          </a:p>
        </rich>
      </tx>
    </title>
    <plotArea>
      <barChart>
        <barDir val="col"/>
        <grouping val="clustered"/>
        <ser>
          <idx val="0"/>
          <order val="0"/>
          <tx>
            <v>EBITDA</v>
          </tx>
          <spPr>
            <a:ln>
              <a:prstDash val="solid"/>
            </a:ln>
          </spPr>
          <cat>
            <numRef>
              <f>'SCENARIOS'!$C$5:$E$5</f>
            </numRef>
          </cat>
          <val>
            <numRef>
              <f>'SCENARIOS'!$C$22:$E$22</f>
            </numRef>
          </val>
        </ser>
        <ser>
          <idx val="1"/>
          <order val="1"/>
          <tx>
            <v>Чистая прибыль</v>
          </tx>
          <spPr>
            <a:ln>
              <a:prstDash val="solid"/>
            </a:ln>
          </spPr>
          <cat>
            <numRef>
              <f>'SCENARIOS'!$C$5:$E$5</f>
            </numRef>
          </cat>
          <val>
            <numRef>
              <f>'SCENARIOS'!$C$23:$E$23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31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47</row>
      <rowOff>0</rowOff>
    </from>
    <ext cx="64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0" customWidth="1" min="4" max="4"/>
    <col width="35" customWidth="1" min="5" max="5"/>
  </cols>
  <sheetData>
    <row r="1">
      <c r="B1" s="1" t="inlineStr">
        <is>
          <t>VOYAGERENT — ОСНОВНЫЕ ПАРАМЕТРЫ (INPUTS)</t>
        </is>
      </c>
    </row>
    <row r="2">
      <c r="B2" s="2" t="inlineStr">
        <is>
          <t>Все данные вводятся ТОЛЬКО на этом листе. Остальные листы рассчитываются автоматически.</t>
        </is>
      </c>
    </row>
    <row r="3">
      <c r="A3" s="3" t="n"/>
      <c r="B3" s="3" t="inlineStr">
        <is>
          <t>Параметр</t>
        </is>
      </c>
      <c r="C3" s="3" t="inlineStr">
        <is>
          <t>Значение</t>
        </is>
      </c>
      <c r="D3" s="3" t="inlineStr">
        <is>
          <t>Единица</t>
        </is>
      </c>
      <c r="E3" s="3" t="inlineStr">
        <is>
          <t>Комментарий</t>
        </is>
      </c>
    </row>
    <row r="5">
      <c r="A5" s="4" t="n"/>
      <c r="B5" s="4" t="inlineStr">
        <is>
          <t>🚗 АВТОПАРК (Fleet)</t>
        </is>
      </c>
      <c r="C5" s="4" t="n"/>
      <c r="D5" s="4" t="n"/>
      <c r="E5" s="4" t="n"/>
    </row>
    <row r="6">
      <c r="B6" s="5" t="inlineStr">
        <is>
          <t>Количество автомобилей</t>
        </is>
      </c>
      <c r="C6" s="6" t="n">
        <v>100</v>
      </c>
      <c r="D6" s="5" t="inlineStr">
        <is>
          <t>шт.</t>
        </is>
      </c>
      <c r="E6" s="7" t="inlineStr">
        <is>
          <t>Текущий размер автопарка</t>
        </is>
      </c>
    </row>
    <row r="7">
      <c r="B7" s="5" t="inlineStr">
        <is>
          <t>Стоимость автомобиля (средняя)</t>
        </is>
      </c>
      <c r="C7" s="8" t="n">
        <v>18000</v>
      </c>
      <c r="D7" s="5" t="inlineStr">
        <is>
          <t>€</t>
        </is>
      </c>
      <c r="E7" s="7" t="inlineStr">
        <is>
          <t>Средняя закупочная цена</t>
        </is>
      </c>
    </row>
    <row r="8">
      <c r="B8" s="5" t="inlineStr">
        <is>
          <t>Срок амортизации</t>
        </is>
      </c>
      <c r="C8" s="9" t="n">
        <v>5</v>
      </c>
      <c r="D8" s="5" t="inlineStr">
        <is>
          <t>лет</t>
        </is>
      </c>
      <c r="E8" s="7" t="inlineStr">
        <is>
          <t>Период списания стоимости</t>
        </is>
      </c>
    </row>
    <row r="9">
      <c r="B9" s="5" t="inlineStr">
        <is>
          <t>Остаточная стоимость (%)</t>
        </is>
      </c>
      <c r="C9" s="10" t="n">
        <v>0.2</v>
      </c>
      <c r="D9" s="5" t="inlineStr">
        <is>
          <t>%</t>
        </is>
      </c>
      <c r="E9" s="7" t="inlineStr">
        <is>
          <t>% от стоимости при продаже через срок амортизации</t>
        </is>
      </c>
    </row>
    <row r="11">
      <c r="A11" s="4" t="n"/>
      <c r="B11" s="4" t="inlineStr">
        <is>
          <t>💰 ДОХОДЫ (Revenue)</t>
        </is>
      </c>
      <c r="C11" s="4" t="n"/>
      <c r="D11" s="4" t="n"/>
      <c r="E11" s="4" t="n"/>
    </row>
    <row r="12">
      <c r="B12" s="5" t="inlineStr">
        <is>
          <t>Средняя цена аренды в день</t>
        </is>
      </c>
      <c r="C12" s="9" t="n">
        <v>45</v>
      </c>
      <c r="D12" s="5" t="inlineStr">
        <is>
          <t>€/день</t>
        </is>
      </c>
      <c r="E12" s="7" t="inlineStr">
        <is>
          <t>Средневзвешенная по классам авто</t>
        </is>
      </c>
    </row>
    <row r="13">
      <c r="B13" s="5" t="inlineStr">
        <is>
          <t>Средняя продолжительность аренды</t>
        </is>
      </c>
      <c r="C13" s="9" t="n">
        <v>5</v>
      </c>
      <c r="D13" s="5" t="inlineStr">
        <is>
          <t>дней</t>
        </is>
      </c>
      <c r="E13" s="7" t="inlineStr">
        <is>
          <t>Средний срок одной аренды</t>
        </is>
      </c>
    </row>
    <row r="14">
      <c r="B14" s="5" t="inlineStr">
        <is>
          <t>Загрузка автопарка</t>
        </is>
      </c>
      <c r="C14" s="10" t="n">
        <v>0.65</v>
      </c>
      <c r="D14" s="5" t="inlineStr">
        <is>
          <t>%</t>
        </is>
      </c>
      <c r="E14" s="7" t="inlineStr">
        <is>
          <t>% времени, когда авто сдано в аренду</t>
        </is>
      </c>
    </row>
    <row r="15">
      <c r="B15" s="5" t="inlineStr">
        <is>
          <t>Количество аренд в месяц (на 1 авто)</t>
        </is>
      </c>
      <c r="C15" s="9" t="n">
        <v>4</v>
      </c>
      <c r="D15" s="5" t="inlineStr">
        <is>
          <t>шт.</t>
        </is>
      </c>
      <c r="E15" s="7" t="inlineStr">
        <is>
          <t>Среднее кол-во аренд на 1 авто в месяц</t>
        </is>
      </c>
    </row>
    <row r="16">
      <c r="B16" s="5" t="inlineStr">
        <is>
          <t>Комиссия агрегаторов</t>
        </is>
      </c>
      <c r="C16" s="10" t="n">
        <v>0.15</v>
      </c>
      <c r="D16" s="5" t="inlineStr">
        <is>
          <t>%</t>
        </is>
      </c>
      <c r="E16" s="7" t="inlineStr">
        <is>
          <t>Booking, Rentalcars, Discovercars и т.д.</t>
        </is>
      </c>
    </row>
    <row r="18">
      <c r="A18" s="4" t="n"/>
      <c r="B18" s="4" t="inlineStr">
        <is>
          <t>🔧 РАСХОДЫ НА АВТОМОБИЛЬ (Per Vehicle Costs)</t>
        </is>
      </c>
      <c r="C18" s="4" t="n"/>
      <c r="D18" s="4" t="n"/>
      <c r="E18" s="4" t="n"/>
    </row>
    <row r="19">
      <c r="B19" s="5" t="inlineStr">
        <is>
          <t>Страховка (на авто в месяц)</t>
        </is>
      </c>
      <c r="C19" s="8" t="n">
        <v>120</v>
      </c>
      <c r="D19" s="5" t="inlineStr">
        <is>
          <t>€/авто/мес</t>
        </is>
      </c>
      <c r="E19" s="7" t="inlineStr">
        <is>
          <t>Полная страховка + КАСКО</t>
        </is>
      </c>
    </row>
    <row r="20">
      <c r="B20" s="5" t="inlineStr">
        <is>
          <t>Ремонт и обслуживание (на авто в месяц)</t>
        </is>
      </c>
      <c r="C20" s="9" t="n">
        <v>80</v>
      </c>
      <c r="D20" s="5" t="inlineStr">
        <is>
          <t>€/авто/мес</t>
        </is>
      </c>
      <c r="E20" s="7" t="inlineStr">
        <is>
          <t>Средний месячный расход</t>
        </is>
      </c>
    </row>
    <row r="21">
      <c r="B21" s="5" t="inlineStr">
        <is>
          <t>Парковка (на авто в месяц)</t>
        </is>
      </c>
      <c r="C21" s="9" t="n">
        <v>50</v>
      </c>
      <c r="D21" s="5" t="inlineStr">
        <is>
          <t>€/авто/мес</t>
        </is>
      </c>
      <c r="E21" s="7" t="inlineStr">
        <is>
          <t>Стоянка / паркинг</t>
        </is>
      </c>
    </row>
    <row r="22">
      <c r="B22" s="5" t="inlineStr">
        <is>
          <t>Топливо / подготовка (на авто в месяц)</t>
        </is>
      </c>
      <c r="C22" s="9" t="n">
        <v>40</v>
      </c>
      <c r="D22" s="5" t="inlineStr">
        <is>
          <t>€/авто/мес</t>
        </is>
      </c>
      <c r="E22" s="7" t="inlineStr">
        <is>
          <t>Подготовка, мойка, топливо</t>
        </is>
      </c>
    </row>
    <row r="23">
      <c r="B23" s="5" t="inlineStr">
        <is>
          <t>ITV + налоги (на авто в год)</t>
        </is>
      </c>
      <c r="C23" s="6" t="n">
        <v>200</v>
      </c>
      <c r="D23" s="5" t="inlineStr">
        <is>
          <t>€/авто/год</t>
        </is>
      </c>
      <c r="E23" s="7" t="inlineStr">
        <is>
          <t>Техосмотр + транспортный налог</t>
        </is>
      </c>
    </row>
    <row r="25">
      <c r="A25" s="4" t="n"/>
      <c r="B25" s="4" t="inlineStr">
        <is>
          <t>🏢 ОБЩИЕ РАСХОДЫ КОМПАНИИ (Overhead)</t>
        </is>
      </c>
      <c r="C25" s="4" t="n"/>
      <c r="D25" s="4" t="n"/>
      <c r="E25" s="4" t="n"/>
    </row>
    <row r="26">
      <c r="B26" s="5" t="inlineStr">
        <is>
          <t>Количество сотрудников</t>
        </is>
      </c>
      <c r="C26" s="9" t="n">
        <v>6</v>
      </c>
      <c r="D26" s="5" t="inlineStr">
        <is>
          <t>чел.</t>
        </is>
      </c>
      <c r="E26" s="7" t="inlineStr">
        <is>
          <t>Штат компании</t>
        </is>
      </c>
    </row>
    <row r="27">
      <c r="B27" s="5" t="inlineStr">
        <is>
          <t>Средняя зарплата (gross)</t>
        </is>
      </c>
      <c r="C27" s="8" t="n">
        <v>1800</v>
      </c>
      <c r="D27" s="5" t="inlineStr">
        <is>
          <t>€/мес</t>
        </is>
      </c>
      <c r="E27" s="7" t="inlineStr">
        <is>
          <t>Зарплата до налогов</t>
        </is>
      </c>
    </row>
    <row r="28">
      <c r="B28" s="5" t="inlineStr">
        <is>
          <t>Налоги на зарплату (%)</t>
        </is>
      </c>
      <c r="C28" s="10" t="n">
        <v>0.3</v>
      </c>
      <c r="D28" s="5" t="inlineStr">
        <is>
          <t>%</t>
        </is>
      </c>
      <c r="E28" s="7" t="inlineStr">
        <is>
          <t>Соц. взносы работодателя в Испании</t>
        </is>
      </c>
    </row>
    <row r="29">
      <c r="B29" s="5" t="inlineStr">
        <is>
          <t>Аренда офиса / точки</t>
        </is>
      </c>
      <c r="C29" s="8" t="n">
        <v>1500</v>
      </c>
      <c r="D29" s="5" t="inlineStr">
        <is>
          <t>€/мес</t>
        </is>
      </c>
      <c r="E29" s="7" t="inlineStr">
        <is>
          <t>Офис + точки выдачи</t>
        </is>
      </c>
    </row>
    <row r="30">
      <c r="B30" s="5" t="inlineStr">
        <is>
          <t>Маркетинг и реклама</t>
        </is>
      </c>
      <c r="C30" s="8" t="n">
        <v>2000</v>
      </c>
      <c r="D30" s="5" t="inlineStr">
        <is>
          <t>€/мес</t>
        </is>
      </c>
      <c r="E30" s="7" t="inlineStr">
        <is>
          <t>Google Ads, SEO, соц. сети</t>
        </is>
      </c>
    </row>
    <row r="31">
      <c r="B31" s="5" t="inlineStr">
        <is>
          <t>Софт и IT</t>
        </is>
      </c>
      <c r="C31" s="8" t="n">
        <v>500</v>
      </c>
      <c r="D31" s="5" t="inlineStr">
        <is>
          <t>€/мес</t>
        </is>
      </c>
      <c r="E31" s="7" t="inlineStr">
        <is>
          <t>CRM, GPS-трекинг, бухгалтерия</t>
        </is>
      </c>
    </row>
    <row r="32">
      <c r="B32" s="5" t="inlineStr">
        <is>
          <t>Связь и интернет</t>
        </is>
      </c>
      <c r="C32" s="8" t="n">
        <v>200</v>
      </c>
      <c r="D32" s="5" t="inlineStr">
        <is>
          <t>€/мес</t>
        </is>
      </c>
      <c r="E32" s="7" t="inlineStr">
        <is>
          <t>Телефония, интернет</t>
        </is>
      </c>
    </row>
    <row r="33">
      <c r="B33" s="5" t="inlineStr">
        <is>
          <t>Прочие расходы</t>
        </is>
      </c>
      <c r="C33" s="8" t="n">
        <v>500</v>
      </c>
      <c r="D33" s="5" t="inlineStr">
        <is>
          <t>€/мес</t>
        </is>
      </c>
      <c r="E33" s="7" t="inlineStr">
        <is>
          <t>Непредвиденные расходы</t>
        </is>
      </c>
    </row>
    <row r="35">
      <c r="A35" s="4" t="n"/>
      <c r="B35" s="4" t="inlineStr">
        <is>
          <t>📈 РОСТ И СЦЕНАРИИ (Growth)</t>
        </is>
      </c>
      <c r="C35" s="4" t="n"/>
      <c r="D35" s="4" t="n"/>
      <c r="E35" s="4" t="n"/>
    </row>
    <row r="36">
      <c r="B36" s="5" t="inlineStr">
        <is>
          <t>Планируемый рост флота (% в год)</t>
        </is>
      </c>
      <c r="C36" s="10" t="n">
        <v>0.2</v>
      </c>
      <c r="D36" s="5" t="inlineStr">
        <is>
          <t>%</t>
        </is>
      </c>
      <c r="E36" s="7" t="inlineStr">
        <is>
          <t>На сколько % вырастет флот за год</t>
        </is>
      </c>
    </row>
    <row r="37">
      <c r="B37" s="5" t="inlineStr">
        <is>
          <t>Сезонность: высокий сезон (мес.)</t>
        </is>
      </c>
      <c r="C37" s="9" t="n">
        <v>5</v>
      </c>
      <c r="D37" s="5" t="inlineStr">
        <is>
          <t>мес.</t>
        </is>
      </c>
      <c r="E37" s="7" t="inlineStr">
        <is>
          <t>Кол-во месяцев высокого сезона</t>
        </is>
      </c>
    </row>
    <row r="38">
      <c r="B38" s="5" t="inlineStr">
        <is>
          <t>Коэффициент высокого сезона</t>
        </is>
      </c>
      <c r="C38" s="9" t="n">
        <v>1.3</v>
      </c>
      <c r="D38" s="5" t="inlineStr">
        <is>
          <t>×</t>
        </is>
      </c>
      <c r="E38" s="7" t="inlineStr">
        <is>
          <t>Множитель загрузки в высокий сезон</t>
        </is>
      </c>
    </row>
    <row r="39">
      <c r="B39" s="5" t="inlineStr">
        <is>
          <t>Коэффициент низкого сезона</t>
        </is>
      </c>
      <c r="C39" s="10" t="n">
        <v>0.7</v>
      </c>
      <c r="D39" s="5" t="inlineStr">
        <is>
          <t>×</t>
        </is>
      </c>
      <c r="E39" s="7" t="inlineStr">
        <is>
          <t>Множитель загрузки в низкий сезон</t>
        </is>
      </c>
    </row>
    <row r="41">
      <c r="A41" s="4" t="n"/>
      <c r="B41" s="4" t="inlineStr">
        <is>
          <t>🏛️ НАЛОГИ (Tax)</t>
        </is>
      </c>
      <c r="C41" s="4" t="n"/>
      <c r="D41" s="4" t="n"/>
      <c r="E41" s="4" t="n"/>
    </row>
    <row r="42">
      <c r="B42" s="5" t="inlineStr">
        <is>
          <t>Ставка налога на прибыль</t>
        </is>
      </c>
      <c r="C42" s="10" t="n">
        <v>0.25</v>
      </c>
      <c r="D42" s="5" t="inlineStr">
        <is>
          <t>%</t>
        </is>
      </c>
      <c r="E42" s="7" t="inlineStr">
        <is>
          <t>Impuesto de Sociedades (Испания)</t>
        </is>
      </c>
    </row>
    <row r="43">
      <c r="B43" s="5" t="inlineStr">
        <is>
          <t>НДС (IVA)</t>
        </is>
      </c>
      <c r="C43" s="10" t="n">
        <v>0.21</v>
      </c>
      <c r="D43" s="5" t="inlineStr">
        <is>
          <t>%</t>
        </is>
      </c>
      <c r="E43" s="7" t="inlineStr">
        <is>
          <t>IVA в Испании 21%</t>
        </is>
      </c>
    </row>
  </sheetData>
  <mergeCells count="2"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5" customWidth="1" min="4" max="4"/>
    <col width="35" customWidth="1" min="5" max="5"/>
  </cols>
  <sheetData>
    <row r="1">
      <c r="B1" s="1" t="inlineStr">
        <is>
          <t>UNIT ECONOMICS — Экономика одного автомобиля</t>
        </is>
      </c>
    </row>
    <row r="3">
      <c r="A3" s="11" t="n"/>
      <c r="B3" s="11" t="inlineStr">
        <is>
          <t>Показатель</t>
        </is>
      </c>
      <c r="C3" s="11" t="inlineStr">
        <is>
          <t>Значение</t>
        </is>
      </c>
      <c r="D3" s="11" t="inlineStr">
        <is>
          <t>Ед.</t>
        </is>
      </c>
      <c r="E3" s="11" t="inlineStr">
        <is>
          <t>Формула / Комментарий</t>
        </is>
      </c>
    </row>
    <row r="5">
      <c r="A5" s="4" t="n"/>
      <c r="B5" s="4" t="inlineStr">
        <is>
          <t>ДОХОД НА 1 АВТОМОБИЛЬ</t>
        </is>
      </c>
      <c r="C5" s="4" t="n"/>
      <c r="D5" s="4" t="n"/>
      <c r="E5" s="4" t="n"/>
    </row>
    <row r="6">
      <c r="A6" s="5" t="n"/>
      <c r="B6" s="5" t="inlineStr">
        <is>
          <t>Доход за 1 аренду (gross)</t>
        </is>
      </c>
      <c r="C6" s="12">
        <f>INPUTS!C12*INPUTS!C13</f>
        <v/>
      </c>
      <c r="D6" s="5" t="inlineStr">
        <is>
          <t>€</t>
        </is>
      </c>
      <c r="E6" s="5" t="inlineStr">
        <is>
          <t>Цена/день × Дни аренды</t>
        </is>
      </c>
    </row>
    <row r="7">
      <c r="A7" s="5" t="n"/>
      <c r="B7" s="5" t="inlineStr">
        <is>
          <t>Количество аренд в месяц</t>
        </is>
      </c>
      <c r="C7" s="13">
        <f>INPUTS!C15</f>
        <v/>
      </c>
      <c r="D7" s="5" t="inlineStr">
        <is>
          <t>шт.</t>
        </is>
      </c>
      <c r="E7" s="5" t="inlineStr">
        <is>
          <t>Из INPUTS</t>
        </is>
      </c>
    </row>
    <row r="8">
      <c r="A8" s="5" t="n"/>
      <c r="B8" s="5" t="inlineStr">
        <is>
          <t>Месячный доход (gross)</t>
        </is>
      </c>
      <c r="C8" s="12">
        <f>C6*C7</f>
        <v/>
      </c>
      <c r="D8" s="5" t="inlineStr">
        <is>
          <t>€</t>
        </is>
      </c>
      <c r="E8" s="5" t="inlineStr">
        <is>
          <t>Доход за аренду × Кол-во аренд</t>
        </is>
      </c>
    </row>
    <row r="9">
      <c r="A9" s="5" t="n"/>
      <c r="B9" s="5" t="inlineStr">
        <is>
          <t>Комиссия агрегаторов</t>
        </is>
      </c>
      <c r="C9" s="12">
        <f>C8*INPUTS!C16</f>
        <v/>
      </c>
      <c r="D9" s="5" t="inlineStr">
        <is>
          <t>€</t>
        </is>
      </c>
      <c r="E9" s="5" t="inlineStr">
        <is>
          <t>Месячный доход × % комиссии</t>
        </is>
      </c>
    </row>
    <row r="10">
      <c r="A10" s="5" t="n"/>
      <c r="B10" s="5" t="inlineStr">
        <is>
          <t>Месячный доход (net)</t>
        </is>
      </c>
      <c r="C10" s="12">
        <f>C8-C9</f>
        <v/>
      </c>
      <c r="D10" s="5" t="inlineStr">
        <is>
          <t>€</t>
        </is>
      </c>
      <c r="E10" s="5" t="inlineStr">
        <is>
          <t>После вычета комиссии</t>
        </is>
      </c>
    </row>
    <row r="11">
      <c r="A11" s="5" t="n"/>
      <c r="B11" s="5" t="inlineStr">
        <is>
          <t>Годовой доход (net)</t>
        </is>
      </c>
      <c r="C11" s="12">
        <f>C10*12</f>
        <v/>
      </c>
      <c r="D11" s="5" t="inlineStr">
        <is>
          <t>€</t>
        </is>
      </c>
      <c r="E11" s="5" t="inlineStr">
        <is>
          <t>Месячный × 12</t>
        </is>
      </c>
    </row>
    <row r="13">
      <c r="A13" s="4" t="n"/>
      <c r="B13" s="4" t="inlineStr">
        <is>
          <t>РАСХОДЫ НА 1 АВТОМОБИЛЬ (в месяц)</t>
        </is>
      </c>
      <c r="C13" s="4" t="n"/>
      <c r="D13" s="4" t="n"/>
      <c r="E13" s="4" t="n"/>
    </row>
    <row r="14">
      <c r="A14" s="5" t="n"/>
      <c r="B14" s="5" t="inlineStr">
        <is>
          <t>Амортизация (в месяц)</t>
        </is>
      </c>
      <c r="C14" s="12">
        <f>INPUTS!C7*(1-INPUTS!C9)/(INPUTS!C8*12)</f>
        <v/>
      </c>
      <c r="D14" s="5" t="inlineStr">
        <is>
          <t>€</t>
        </is>
      </c>
      <c r="E14" s="5" t="inlineStr">
        <is>
          <t>Стоимость×(1-ост.%)/(Срок×12)</t>
        </is>
      </c>
    </row>
    <row r="15">
      <c r="A15" s="5" t="n"/>
      <c r="B15" s="5" t="inlineStr">
        <is>
          <t>Страховка</t>
        </is>
      </c>
      <c r="C15" s="12">
        <f>INPUTS!C19</f>
        <v/>
      </c>
      <c r="D15" s="5" t="inlineStr">
        <is>
          <t>€</t>
        </is>
      </c>
      <c r="E15" s="5" t="inlineStr">
        <is>
          <t>Из INPUTS</t>
        </is>
      </c>
    </row>
    <row r="16">
      <c r="A16" s="5" t="n"/>
      <c r="B16" s="5" t="inlineStr">
        <is>
          <t>Ремонт и обслуживание</t>
        </is>
      </c>
      <c r="C16" s="12">
        <f>INPUTS!C20</f>
        <v/>
      </c>
      <c r="D16" s="5" t="inlineStr">
        <is>
          <t>€</t>
        </is>
      </c>
      <c r="E16" s="5" t="inlineStr">
        <is>
          <t>Из INPUTS</t>
        </is>
      </c>
    </row>
    <row r="17">
      <c r="A17" s="5" t="n"/>
      <c r="B17" s="5" t="inlineStr">
        <is>
          <t>Парковка</t>
        </is>
      </c>
      <c r="C17" s="12">
        <f>INPUTS!C21</f>
        <v/>
      </c>
      <c r="D17" s="5" t="inlineStr">
        <is>
          <t>€</t>
        </is>
      </c>
      <c r="E17" s="5" t="inlineStr">
        <is>
          <t>Из INPUTS</t>
        </is>
      </c>
    </row>
    <row r="18">
      <c r="A18" s="5" t="n"/>
      <c r="B18" s="5" t="inlineStr">
        <is>
          <t>Топливо / подготовка</t>
        </is>
      </c>
      <c r="C18" s="12">
        <f>INPUTS!C22</f>
        <v/>
      </c>
      <c r="D18" s="5" t="inlineStr">
        <is>
          <t>€</t>
        </is>
      </c>
      <c r="E18" s="5" t="inlineStr">
        <is>
          <t>Из INPUTS</t>
        </is>
      </c>
    </row>
    <row r="19">
      <c r="A19" s="5" t="n"/>
      <c r="B19" s="5" t="inlineStr">
        <is>
          <t>ITV + налоги (в месяц)</t>
        </is>
      </c>
      <c r="C19" s="12">
        <f>INPUTS!C23/12</f>
        <v/>
      </c>
      <c r="D19" s="5" t="inlineStr">
        <is>
          <t>€</t>
        </is>
      </c>
      <c r="E19" s="5" t="inlineStr">
        <is>
          <t>Годовая сумма / 12</t>
        </is>
      </c>
    </row>
    <row r="20">
      <c r="A20" s="5" t="n"/>
      <c r="B20" s="5" t="inlineStr">
        <is>
          <t>ИТОГО расходы на 1 авто / мес</t>
        </is>
      </c>
      <c r="C20" s="12">
        <f>SUM(C14:C19)</f>
        <v/>
      </c>
      <c r="D20" s="5" t="inlineStr">
        <is>
          <t>€</t>
        </is>
      </c>
      <c r="E20" s="5" t="inlineStr">
        <is>
          <t>Сумма всех расходов</t>
        </is>
      </c>
    </row>
    <row r="21">
      <c r="A21" s="5" t="n"/>
      <c r="B21" s="5" t="inlineStr">
        <is>
          <t>ИТОГО расходы на 1 авто / год</t>
        </is>
      </c>
      <c r="C21" s="12">
        <f>C20*12</f>
        <v/>
      </c>
      <c r="D21" s="5" t="inlineStr">
        <is>
          <t>€</t>
        </is>
      </c>
      <c r="E21" s="5" t="inlineStr">
        <is>
          <t>× 12 месяцев</t>
        </is>
      </c>
    </row>
    <row r="23">
      <c r="A23" s="4" t="n"/>
      <c r="B23" s="4" t="inlineStr">
        <is>
          <t>ПРИБЫЛЬ НА 1 АВТОМОБИЛЬ</t>
        </is>
      </c>
      <c r="C23" s="4" t="n"/>
      <c r="D23" s="4" t="n"/>
      <c r="E23" s="4" t="n"/>
    </row>
    <row r="24">
      <c r="A24" s="5" t="n"/>
      <c r="B24" s="5" t="inlineStr">
        <is>
          <t>Валовая прибыль (месяц)</t>
        </is>
      </c>
      <c r="C24" s="12">
        <f>C10-C20</f>
        <v/>
      </c>
      <c r="D24" s="5" t="inlineStr">
        <is>
          <t>€</t>
        </is>
      </c>
      <c r="E24" s="5" t="inlineStr">
        <is>
          <t>Доход net - Расходы</t>
        </is>
      </c>
    </row>
    <row r="25">
      <c r="A25" s="5" t="n"/>
      <c r="B25" s="5" t="inlineStr">
        <is>
          <t>Валовая прибыль (год)</t>
        </is>
      </c>
      <c r="C25" s="12">
        <f>C24*12</f>
        <v/>
      </c>
      <c r="D25" s="5" t="inlineStr">
        <is>
          <t>€</t>
        </is>
      </c>
      <c r="E25" s="5" t="inlineStr">
        <is>
          <t>× 12</t>
        </is>
      </c>
    </row>
    <row r="26">
      <c r="A26" s="5" t="n"/>
      <c r="B26" s="5" t="inlineStr">
        <is>
          <t>Маржинальность</t>
        </is>
      </c>
      <c r="C26" s="14">
        <f>C24/C10</f>
        <v/>
      </c>
      <c r="D26" s="5" t="inlineStr">
        <is>
          <t>%</t>
        </is>
      </c>
      <c r="E26" s="5" t="inlineStr">
        <is>
          <t>Валовая прибыль / Доход</t>
        </is>
      </c>
    </row>
    <row r="28">
      <c r="A28" s="4" t="n"/>
      <c r="B28" s="4" t="inlineStr">
        <is>
          <t>ОКУПАЕМОСТЬ</t>
        </is>
      </c>
      <c r="C28" s="4" t="n"/>
      <c r="D28" s="4" t="n"/>
      <c r="E28" s="4" t="n"/>
    </row>
    <row r="29">
      <c r="A29" s="5" t="n"/>
      <c r="B29" s="5" t="inlineStr">
        <is>
          <t>Стоимость автомобиля</t>
        </is>
      </c>
      <c r="C29" s="12">
        <f>INPUTS!C7</f>
        <v/>
      </c>
      <c r="D29" s="5" t="inlineStr">
        <is>
          <t>€</t>
        </is>
      </c>
      <c r="E29" s="5" t="inlineStr">
        <is>
          <t>Из INPUTS</t>
        </is>
      </c>
    </row>
    <row r="30">
      <c r="A30" s="5" t="n"/>
      <c r="B30" s="5" t="inlineStr">
        <is>
          <t>Чистая стоимость (за вычетом остат.)</t>
        </is>
      </c>
      <c r="C30" s="12">
        <f>INPUTS!C7*(1-INPUTS!C9)</f>
        <v/>
      </c>
      <c r="D30" s="5" t="inlineStr">
        <is>
          <t>€</t>
        </is>
      </c>
      <c r="E30" s="5" t="inlineStr">
        <is>
          <t>Стоимость × (1 - ост.%)</t>
        </is>
      </c>
    </row>
    <row r="31">
      <c r="A31" s="5" t="n"/>
      <c r="B31" s="5" t="inlineStr">
        <is>
          <t>Срок окупаемости</t>
        </is>
      </c>
      <c r="C31" s="15">
        <f>IF(C24&gt;0,C30/C24,"N/A")</f>
        <v/>
      </c>
      <c r="D31" s="5" t="inlineStr">
        <is>
          <t>мес.</t>
        </is>
      </c>
      <c r="E31" s="5" t="inlineStr">
        <is>
          <t>Чистая стоимость / Валовая прибыль в мес.</t>
        </is>
      </c>
    </row>
    <row r="32">
      <c r="A32" s="5" t="n"/>
      <c r="B32" s="5" t="inlineStr">
        <is>
          <t>ROI (годовой)</t>
        </is>
      </c>
      <c r="C32" s="14">
        <f>IF(C29&gt;0,C25/C29,0)</f>
        <v/>
      </c>
      <c r="D32" s="5" t="inlineStr">
        <is>
          <t>%</t>
        </is>
      </c>
      <c r="E32" s="5" t="inlineStr">
        <is>
          <t>Годовая прибыль / Стоимость авто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5" customWidth="1" min="4" max="4"/>
    <col width="35" customWidth="1" min="5" max="5"/>
  </cols>
  <sheetData>
    <row r="1">
      <c r="B1" s="1" t="inlineStr">
        <is>
          <t>FLEET PERFORMANCE — Показатели автопарка</t>
        </is>
      </c>
    </row>
    <row r="3">
      <c r="A3" s="16" t="n"/>
      <c r="B3" s="16" t="inlineStr">
        <is>
          <t>Показатель</t>
        </is>
      </c>
      <c r="C3" s="16" t="inlineStr">
        <is>
          <t>Значение</t>
        </is>
      </c>
      <c r="D3" s="16" t="inlineStr">
        <is>
          <t>Ед.</t>
        </is>
      </c>
      <c r="E3" s="16" t="inlineStr">
        <is>
          <t>Формула</t>
        </is>
      </c>
    </row>
    <row r="5">
      <c r="A5" s="4" t="n"/>
      <c r="B5" s="4" t="inlineStr">
        <is>
          <t>ОБЩИЕ ПОКАЗАТЕЛИ ФЛОТА</t>
        </is>
      </c>
      <c r="C5" s="4" t="n"/>
      <c r="D5" s="4" t="n"/>
      <c r="E5" s="4" t="n"/>
    </row>
    <row r="6">
      <c r="A6" s="5" t="n"/>
      <c r="B6" s="5" t="inlineStr">
        <is>
          <t>Количество автомобилей</t>
        </is>
      </c>
      <c r="C6" s="13">
        <f>INPUTS!C6</f>
        <v/>
      </c>
      <c r="D6" s="5" t="inlineStr">
        <is>
          <t>шт.</t>
        </is>
      </c>
      <c r="E6" s="5" t="inlineStr">
        <is>
          <t>Из INPUTS</t>
        </is>
      </c>
    </row>
    <row r="7">
      <c r="A7" s="5" t="n"/>
      <c r="B7" s="5" t="inlineStr">
        <is>
          <t>Загрузка автопарка</t>
        </is>
      </c>
      <c r="C7" s="14">
        <f>INPUTS!C14</f>
        <v/>
      </c>
      <c r="D7" s="5" t="inlineStr">
        <is>
          <t>%</t>
        </is>
      </c>
      <c r="E7" s="5" t="inlineStr">
        <is>
          <t>Из INPUTS</t>
        </is>
      </c>
    </row>
    <row r="8">
      <c r="A8" s="5" t="n"/>
      <c r="B8" s="5" t="inlineStr">
        <is>
          <t>Дней аренды на 1 авто в месяц</t>
        </is>
      </c>
      <c r="C8" s="13">
        <f>30*INPUTS!C14</f>
        <v/>
      </c>
      <c r="D8" s="5" t="inlineStr">
        <is>
          <t>дней</t>
        </is>
      </c>
      <c r="E8" s="5" t="inlineStr">
        <is>
          <t>30 × Загрузка</t>
        </is>
      </c>
    </row>
    <row r="9">
      <c r="A9" s="5" t="n"/>
      <c r="B9" s="5" t="inlineStr">
        <is>
          <t>Дней аренды всего флота в месяц</t>
        </is>
      </c>
      <c r="C9" s="13">
        <f>C8*C6</f>
        <v/>
      </c>
      <c r="D9" s="5" t="inlineStr">
        <is>
          <t>дней</t>
        </is>
      </c>
      <c r="E9" s="5" t="inlineStr">
        <is>
          <t>Дней на авто × Кол-во авто</t>
        </is>
      </c>
    </row>
    <row r="11">
      <c r="A11" s="4" t="n"/>
      <c r="B11" s="4" t="inlineStr">
        <is>
          <t>АРЕНДЫ</t>
        </is>
      </c>
      <c r="C11" s="4" t="n"/>
      <c r="D11" s="4" t="n"/>
      <c r="E11" s="4" t="n"/>
    </row>
    <row r="12">
      <c r="A12" s="5" t="n"/>
      <c r="B12" s="5" t="inlineStr">
        <is>
          <t>Аренд на 1 авто в месяц</t>
        </is>
      </c>
      <c r="C12" s="13">
        <f>INPUTS!C15</f>
        <v/>
      </c>
      <c r="D12" s="5" t="inlineStr">
        <is>
          <t>шт.</t>
        </is>
      </c>
      <c r="E12" s="5" t="inlineStr">
        <is>
          <t>Из INPUTS</t>
        </is>
      </c>
    </row>
    <row r="13">
      <c r="A13" s="5" t="n"/>
      <c r="B13" s="5" t="inlineStr">
        <is>
          <t>Аренд на 1 авто в день</t>
        </is>
      </c>
      <c r="C13" s="13">
        <f>C12/30</f>
        <v/>
      </c>
      <c r="D13" s="5" t="inlineStr">
        <is>
          <t>шт.</t>
        </is>
      </c>
      <c r="E13" s="5" t="inlineStr">
        <is>
          <t>В месяц / 30</t>
        </is>
      </c>
    </row>
    <row r="14">
      <c r="A14" s="5" t="n"/>
      <c r="B14" s="5" t="inlineStr">
        <is>
          <t>Аренд всего флота в день</t>
        </is>
      </c>
      <c r="C14" s="13">
        <f>C13*C6</f>
        <v/>
      </c>
      <c r="D14" s="5" t="inlineStr">
        <is>
          <t>шт.</t>
        </is>
      </c>
      <c r="E14" s="5" t="inlineStr">
        <is>
          <t>На 1 авто в день × Флот</t>
        </is>
      </c>
    </row>
    <row r="15">
      <c r="A15" s="5" t="n"/>
      <c r="B15" s="5" t="inlineStr">
        <is>
          <t>Аренд всего флота в месяц</t>
        </is>
      </c>
      <c r="C15" s="13">
        <f>C12*C6</f>
        <v/>
      </c>
      <c r="D15" s="5" t="inlineStr">
        <is>
          <t>шт.</t>
        </is>
      </c>
      <c r="E15" s="5" t="inlineStr">
        <is>
          <t>На 1 авто в мес × Флот</t>
        </is>
      </c>
    </row>
    <row r="16">
      <c r="A16" s="5" t="n"/>
      <c r="B16" s="5" t="inlineStr">
        <is>
          <t>Аренд всего флота в год</t>
        </is>
      </c>
      <c r="C16" s="13">
        <f>C15*12</f>
        <v/>
      </c>
      <c r="D16" s="5" t="inlineStr">
        <is>
          <t>шт.</t>
        </is>
      </c>
      <c r="E16" s="5" t="inlineStr">
        <is>
          <t>В месяц × 12</t>
        </is>
      </c>
    </row>
    <row r="18">
      <c r="A18" s="4" t="n"/>
      <c r="B18" s="4" t="inlineStr">
        <is>
          <t>ДОХОД ФЛОТА</t>
        </is>
      </c>
      <c r="C18" s="4" t="n"/>
      <c r="D18" s="4" t="n"/>
      <c r="E18" s="4" t="n"/>
    </row>
    <row r="19">
      <c r="A19" s="5" t="n"/>
      <c r="B19" s="5" t="inlineStr">
        <is>
          <t>Доход за 1 аренду (gross)</t>
        </is>
      </c>
      <c r="C19" s="12">
        <f>INPUTS!C12*INPUTS!C13</f>
        <v/>
      </c>
      <c r="D19" s="5" t="inlineStr">
        <is>
          <t>€</t>
        </is>
      </c>
      <c r="E19" s="5" t="inlineStr">
        <is>
          <t>Цена/день × Дни</t>
        </is>
      </c>
    </row>
    <row r="20">
      <c r="A20" s="5" t="n"/>
      <c r="B20" s="5" t="inlineStr">
        <is>
          <t>Месячный доход флота (gross)</t>
        </is>
      </c>
      <c r="C20" s="12">
        <f>C19*C15</f>
        <v/>
      </c>
      <c r="D20" s="5" t="inlineStr">
        <is>
          <t>€</t>
        </is>
      </c>
      <c r="E20" s="5" t="inlineStr">
        <is>
          <t>Доход за аренду × Аренды в мес</t>
        </is>
      </c>
    </row>
    <row r="21">
      <c r="A21" s="5" t="n"/>
      <c r="B21" s="5" t="inlineStr">
        <is>
          <t>Комиссия агрегаторов (мес)</t>
        </is>
      </c>
      <c r="C21" s="12">
        <f>C20*INPUTS!C16</f>
        <v/>
      </c>
      <c r="D21" s="5" t="inlineStr">
        <is>
          <t>€</t>
        </is>
      </c>
      <c r="E21" s="5" t="inlineStr">
        <is>
          <t>Gross × % комиссии</t>
        </is>
      </c>
    </row>
    <row r="22">
      <c r="A22" s="5" t="n"/>
      <c r="B22" s="5" t="inlineStr">
        <is>
          <t>Месячный доход флота (net)</t>
        </is>
      </c>
      <c r="C22" s="12">
        <f>C20-C21</f>
        <v/>
      </c>
      <c r="D22" s="5" t="inlineStr">
        <is>
          <t>€</t>
        </is>
      </c>
      <c r="E22" s="5" t="inlineStr">
        <is>
          <t>Gross - Комиссия</t>
        </is>
      </c>
    </row>
    <row r="23">
      <c r="A23" s="5" t="n"/>
      <c r="B23" s="5" t="inlineStr">
        <is>
          <t>Годовой доход флота (net)</t>
        </is>
      </c>
      <c r="C23" s="12">
        <f>C22*12</f>
        <v/>
      </c>
      <c r="D23" s="5" t="inlineStr">
        <is>
          <t>€</t>
        </is>
      </c>
      <c r="E23" s="5" t="inlineStr">
        <is>
          <t>× 12</t>
        </is>
      </c>
    </row>
    <row r="24">
      <c r="A24" s="5" t="n"/>
      <c r="B24" s="5" t="inlineStr">
        <is>
          <t>Средний доход на 1 авто (мес, net)</t>
        </is>
      </c>
      <c r="C24" s="12">
        <f>C22/C6</f>
        <v/>
      </c>
      <c r="D24" s="5" t="inlineStr">
        <is>
          <t>€</t>
        </is>
      </c>
      <c r="E24" s="5" t="inlineStr">
        <is>
          <t>Доход net / Кол-во авто</t>
        </is>
      </c>
    </row>
    <row r="25">
      <c r="A25" s="5" t="n"/>
      <c r="B25" s="5" t="inlineStr">
        <is>
          <t>Средний доход на 1 авто (год, net)</t>
        </is>
      </c>
      <c r="C25" s="12">
        <f>C24*12</f>
        <v/>
      </c>
      <c r="D25" s="5" t="inlineStr">
        <is>
          <t>€</t>
        </is>
      </c>
      <c r="E25" s="5" t="inlineStr">
        <is>
          <t>× 12</t>
        </is>
      </c>
    </row>
    <row r="27">
      <c r="A27" s="4" t="n"/>
      <c r="B27" s="4" t="inlineStr">
        <is>
          <t>РАСХОДЫ ФЛОТА</t>
        </is>
      </c>
      <c r="C27" s="4" t="n"/>
      <c r="D27" s="4" t="n"/>
      <c r="E27" s="4" t="n"/>
    </row>
    <row r="28">
      <c r="A28" s="5" t="n"/>
      <c r="B28" s="5" t="inlineStr">
        <is>
          <t>Расходы на весь флот (мес)</t>
        </is>
      </c>
      <c r="C28" s="12">
        <f>'UNIT ECONOMICS'!C20*C6</f>
        <v/>
      </c>
      <c r="D28" s="5" t="inlineStr">
        <is>
          <t>€</t>
        </is>
      </c>
      <c r="E28" s="5" t="inlineStr">
        <is>
          <t>Расходы на 1 авто × Флот</t>
        </is>
      </c>
    </row>
    <row r="29">
      <c r="A29" s="5" t="n"/>
      <c r="B29" s="5" t="inlineStr">
        <is>
          <t>Расходы на весь флот (год)</t>
        </is>
      </c>
      <c r="C29" s="12">
        <f>C28*12</f>
        <v/>
      </c>
      <c r="D29" s="5" t="inlineStr">
        <is>
          <t>€</t>
        </is>
      </c>
      <c r="E29" s="5" t="inlineStr">
        <is>
          <t>× 12</t>
        </is>
      </c>
    </row>
    <row r="31">
      <c r="A31" s="4" t="n"/>
      <c r="B31" s="4" t="inlineStr">
        <is>
          <t>ВАЛОВАЯ ПРИБЫЛЬ ФЛОТА</t>
        </is>
      </c>
      <c r="C31" s="4" t="n"/>
      <c r="D31" s="4" t="n"/>
      <c r="E31" s="4" t="n"/>
    </row>
    <row r="32">
      <c r="A32" s="5" t="n"/>
      <c r="B32" s="5" t="inlineStr">
        <is>
          <t>Валовая прибыль флота (мес)</t>
        </is>
      </c>
      <c r="C32" s="12">
        <f>C22-C28</f>
        <v/>
      </c>
      <c r="D32" s="5" t="inlineStr">
        <is>
          <t>€</t>
        </is>
      </c>
      <c r="E32" s="5" t="inlineStr">
        <is>
          <t>Доход net - Расходы</t>
        </is>
      </c>
    </row>
    <row r="33">
      <c r="A33" s="5" t="n"/>
      <c r="B33" s="5" t="inlineStr">
        <is>
          <t>Валовая прибыль флота (год)</t>
        </is>
      </c>
      <c r="C33" s="12">
        <f>C32*12</f>
        <v/>
      </c>
      <c r="D33" s="5" t="inlineStr">
        <is>
          <t>€</t>
        </is>
      </c>
      <c r="E33" s="5" t="inlineStr">
        <is>
          <t>× 12</t>
        </is>
      </c>
    </row>
    <row r="34">
      <c r="A34" s="5" t="n"/>
      <c r="B34" s="5" t="inlineStr">
        <is>
          <t>Маржинальность флота</t>
        </is>
      </c>
      <c r="C34" s="14">
        <f>IF(C22&gt;0,C32/C22,0)</f>
        <v/>
      </c>
      <c r="D34" s="5" t="inlineStr">
        <is>
          <t>%</t>
        </is>
      </c>
      <c r="E34" s="5" t="inlineStr">
        <is>
          <t>Валовая прибыль / Доход</t>
        </is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8" customWidth="1" min="16" max="16"/>
  </cols>
  <sheetData>
    <row r="1">
      <c r="B1" s="1" t="inlineStr">
        <is>
          <t>REVENUE FORECAST — Прогноз доходов на 12 месяцев</t>
        </is>
      </c>
    </row>
    <row r="3">
      <c r="A3" s="17" t="n"/>
      <c r="B3" s="17" t="inlineStr">
        <is>
          <t>Показатель</t>
        </is>
      </c>
      <c r="C3" s="17" t="inlineStr">
        <is>
          <t>Enero</t>
        </is>
      </c>
      <c r="D3" s="17" t="inlineStr">
        <is>
          <t>Febrero</t>
        </is>
      </c>
      <c r="E3" s="17" t="inlineStr">
        <is>
          <t>Marzo</t>
        </is>
      </c>
      <c r="F3" s="17" t="inlineStr">
        <is>
          <t>Abril</t>
        </is>
      </c>
      <c r="G3" s="17" t="inlineStr">
        <is>
          <t>Mayo</t>
        </is>
      </c>
      <c r="H3" s="17" t="inlineStr">
        <is>
          <t>Junio</t>
        </is>
      </c>
      <c r="I3" s="17" t="inlineStr">
        <is>
          <t>Julio</t>
        </is>
      </c>
      <c r="J3" s="17" t="inlineStr">
        <is>
          <t>Agosto</t>
        </is>
      </c>
      <c r="K3" s="17" t="inlineStr">
        <is>
          <t>Septiembre</t>
        </is>
      </c>
      <c r="L3" s="17" t="inlineStr">
        <is>
          <t>Octubre</t>
        </is>
      </c>
      <c r="M3" s="17" t="inlineStr">
        <is>
          <t>Noviembre</t>
        </is>
      </c>
      <c r="N3" s="17" t="inlineStr">
        <is>
          <t>Diciembre</t>
        </is>
      </c>
      <c r="O3" s="17" t="inlineStr">
        <is>
          <t>ИТОГО ГОД</t>
        </is>
      </c>
    </row>
    <row r="4">
      <c r="A4" s="4" t="n"/>
      <c r="B4" s="4" t="inlineStr">
        <is>
          <t>СЕЗОННОСТЬ И ЗАГРУЗКА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B5" t="inlineStr">
        <is>
          <t>Сезонный коэффициент</t>
        </is>
      </c>
      <c r="C5" s="18">
        <f>IF(OR(1=6,1=7,1=8,1=9,1=10),INPUTS!C38,INPUTS!C39)</f>
        <v/>
      </c>
      <c r="D5" s="18">
        <f>IF(OR(2=6,2=7,2=8,2=9,2=10),INPUTS!C38,INPUTS!C39)</f>
        <v/>
      </c>
      <c r="E5" s="18">
        <f>IF(OR(3=6,3=7,3=8,3=9,3=10),INPUTS!C38,INPUTS!C39)</f>
        <v/>
      </c>
      <c r="F5" s="18">
        <f>IF(OR(4=6,4=7,4=8,4=9,4=10),INPUTS!C38,INPUTS!C39)</f>
        <v/>
      </c>
      <c r="G5" s="18">
        <f>IF(OR(5=6,5=7,5=8,5=9,5=10),INPUTS!C38,INPUTS!C39)</f>
        <v/>
      </c>
      <c r="H5" s="18">
        <f>IF(OR(6=6,6=7,6=8,6=9,6=10),INPUTS!C38,INPUTS!C39)</f>
        <v/>
      </c>
      <c r="I5" s="18">
        <f>IF(OR(7=6,7=7,7=8,7=9,7=10),INPUTS!C38,INPUTS!C39)</f>
        <v/>
      </c>
      <c r="J5" s="18">
        <f>IF(OR(8=6,8=7,8=8,8=9,8=10),INPUTS!C38,INPUTS!C39)</f>
        <v/>
      </c>
      <c r="K5" s="18">
        <f>IF(OR(9=6,9=7,9=8,9=9,9=10),INPUTS!C38,INPUTS!C39)</f>
        <v/>
      </c>
      <c r="L5" s="18">
        <f>IF(OR(10=6,10=7,10=8,10=9,10=10),INPUTS!C38,INPUTS!C39)</f>
        <v/>
      </c>
      <c r="M5" s="18">
        <f>IF(OR(11=6,11=7,11=8,11=9,11=10),INPUTS!C38,INPUTS!C39)</f>
        <v/>
      </c>
      <c r="N5" s="18">
        <f>IF(OR(12=6,12=7,12=8,12=9,12=10),INPUTS!C38,INPUTS!C39)</f>
        <v/>
      </c>
    </row>
    <row r="6">
      <c r="B6" t="inlineStr">
        <is>
          <t>Загрузка (с учётом сезона)</t>
        </is>
      </c>
      <c r="C6" s="19">
        <f>INPUTS!C14*C5</f>
        <v/>
      </c>
      <c r="D6" s="19">
        <f>INPUTS!C14*D5</f>
        <v/>
      </c>
      <c r="E6" s="19">
        <f>INPUTS!C14*E5</f>
        <v/>
      </c>
      <c r="F6" s="19">
        <f>INPUTS!C14*F5</f>
        <v/>
      </c>
      <c r="G6" s="19">
        <f>INPUTS!C14*G5</f>
        <v/>
      </c>
      <c r="H6" s="19">
        <f>INPUTS!C14*H5</f>
        <v/>
      </c>
      <c r="I6" s="19">
        <f>INPUTS!C14*I5</f>
        <v/>
      </c>
      <c r="J6" s="19">
        <f>INPUTS!C14*J5</f>
        <v/>
      </c>
      <c r="K6" s="19">
        <f>INPUTS!C14*K5</f>
        <v/>
      </c>
      <c r="L6" s="19">
        <f>INPUTS!C14*L5</f>
        <v/>
      </c>
      <c r="M6" s="19">
        <f>INPUTS!C14*M5</f>
        <v/>
      </c>
      <c r="N6" s="19">
        <f>INPUTS!C14*N5</f>
        <v/>
      </c>
    </row>
    <row r="7">
      <c r="B7" t="inlineStr">
        <is>
          <t>Кол-во авто</t>
        </is>
      </c>
      <c r="C7" s="20">
        <f>ROUND(INPUTS!C6*(1+INPUTS!C36*0/12),0)</f>
        <v/>
      </c>
      <c r="D7" s="20">
        <f>ROUND(INPUTS!C6*(1+INPUTS!C36*1/12),0)</f>
        <v/>
      </c>
      <c r="E7" s="20">
        <f>ROUND(INPUTS!C6*(1+INPUTS!C36*2/12),0)</f>
        <v/>
      </c>
      <c r="F7" s="20">
        <f>ROUND(INPUTS!C6*(1+INPUTS!C36*3/12),0)</f>
        <v/>
      </c>
      <c r="G7" s="20">
        <f>ROUND(INPUTS!C6*(1+INPUTS!C36*4/12),0)</f>
        <v/>
      </c>
      <c r="H7" s="20">
        <f>ROUND(INPUTS!C6*(1+INPUTS!C36*5/12),0)</f>
        <v/>
      </c>
      <c r="I7" s="20">
        <f>ROUND(INPUTS!C6*(1+INPUTS!C36*6/12),0)</f>
        <v/>
      </c>
      <c r="J7" s="20">
        <f>ROUND(INPUTS!C6*(1+INPUTS!C36*7/12),0)</f>
        <v/>
      </c>
      <c r="K7" s="20">
        <f>ROUND(INPUTS!C6*(1+INPUTS!C36*8/12),0)</f>
        <v/>
      </c>
      <c r="L7" s="20">
        <f>ROUND(INPUTS!C6*(1+INPUTS!C36*9/12),0)</f>
        <v/>
      </c>
      <c r="M7" s="20">
        <f>ROUND(INPUTS!C6*(1+INPUTS!C36*10/12),0)</f>
        <v/>
      </c>
      <c r="N7" s="20">
        <f>ROUND(INPUTS!C6*(1+INPUTS!C36*11/12),0)</f>
        <v/>
      </c>
    </row>
    <row r="9">
      <c r="A9" s="4" t="n"/>
      <c r="B9" s="4" t="inlineStr">
        <is>
          <t>ДОХОДЫ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t="inlineStr">
        <is>
          <t>Дней аренды (флот)</t>
        </is>
      </c>
      <c r="C10" s="20">
        <f>30*C6*C7</f>
        <v/>
      </c>
      <c r="D10" s="20">
        <f>30*D6*D7</f>
        <v/>
      </c>
      <c r="E10" s="20">
        <f>30*E6*E7</f>
        <v/>
      </c>
      <c r="F10" s="20">
        <f>30*F6*F7</f>
        <v/>
      </c>
      <c r="G10" s="20">
        <f>30*G6*G7</f>
        <v/>
      </c>
      <c r="H10" s="20">
        <f>30*H6*H7</f>
        <v/>
      </c>
      <c r="I10" s="20">
        <f>30*I6*I7</f>
        <v/>
      </c>
      <c r="J10" s="20">
        <f>30*J6*J7</f>
        <v/>
      </c>
      <c r="K10" s="20">
        <f>30*K6*K7</f>
        <v/>
      </c>
      <c r="L10" s="20">
        <f>30*L6*L7</f>
        <v/>
      </c>
      <c r="M10" s="20">
        <f>30*M6*M7</f>
        <v/>
      </c>
      <c r="N10" s="20">
        <f>30*N6*N7</f>
        <v/>
      </c>
      <c r="O10" s="21">
        <f>SUM(C10:N10)</f>
        <v/>
      </c>
    </row>
    <row r="11">
      <c r="B11" t="inlineStr">
        <is>
          <t>Выручка (gross)</t>
        </is>
      </c>
      <c r="C11" s="22">
        <f>C10*INPUTS!C12</f>
        <v/>
      </c>
      <c r="D11" s="22">
        <f>D10*INPUTS!C12</f>
        <v/>
      </c>
      <c r="E11" s="22">
        <f>E10*INPUTS!C12</f>
        <v/>
      </c>
      <c r="F11" s="22">
        <f>F10*INPUTS!C12</f>
        <v/>
      </c>
      <c r="G11" s="22">
        <f>G10*INPUTS!C12</f>
        <v/>
      </c>
      <c r="H11" s="22">
        <f>H10*INPUTS!C12</f>
        <v/>
      </c>
      <c r="I11" s="22">
        <f>I10*INPUTS!C12</f>
        <v/>
      </c>
      <c r="J11" s="22">
        <f>J10*INPUTS!C12</f>
        <v/>
      </c>
      <c r="K11" s="22">
        <f>K10*INPUTS!C12</f>
        <v/>
      </c>
      <c r="L11" s="22">
        <f>L10*INPUTS!C12</f>
        <v/>
      </c>
      <c r="M11" s="22">
        <f>M10*INPUTS!C12</f>
        <v/>
      </c>
      <c r="N11" s="22">
        <f>N10*INPUTS!C12</f>
        <v/>
      </c>
      <c r="O11" s="23">
        <f>SUM(C11:N11)</f>
        <v/>
      </c>
    </row>
    <row r="12">
      <c r="B12" t="inlineStr">
        <is>
          <t>Комиссия агрегаторов</t>
        </is>
      </c>
      <c r="C12" s="22">
        <f>C11*INPUTS!C16</f>
        <v/>
      </c>
      <c r="D12" s="22">
        <f>D11*INPUTS!C16</f>
        <v/>
      </c>
      <c r="E12" s="22">
        <f>E11*INPUTS!C16</f>
        <v/>
      </c>
      <c r="F12" s="22">
        <f>F11*INPUTS!C16</f>
        <v/>
      </c>
      <c r="G12" s="22">
        <f>G11*INPUTS!C16</f>
        <v/>
      </c>
      <c r="H12" s="22">
        <f>H11*INPUTS!C16</f>
        <v/>
      </c>
      <c r="I12" s="22">
        <f>I11*INPUTS!C16</f>
        <v/>
      </c>
      <c r="J12" s="22">
        <f>J11*INPUTS!C16</f>
        <v/>
      </c>
      <c r="K12" s="22">
        <f>K11*INPUTS!C16</f>
        <v/>
      </c>
      <c r="L12" s="22">
        <f>L11*INPUTS!C16</f>
        <v/>
      </c>
      <c r="M12" s="22">
        <f>M11*INPUTS!C16</f>
        <v/>
      </c>
      <c r="N12" s="22">
        <f>N11*INPUTS!C16</f>
        <v/>
      </c>
      <c r="O12" s="23">
        <f>SUM(C12:N12)</f>
        <v/>
      </c>
    </row>
    <row r="13">
      <c r="B13" t="inlineStr">
        <is>
          <t>Выручка (net)</t>
        </is>
      </c>
      <c r="C13" s="23">
        <f>C11-C12</f>
        <v/>
      </c>
      <c r="D13" s="23">
        <f>D11-D12</f>
        <v/>
      </c>
      <c r="E13" s="23">
        <f>E11-E12</f>
        <v/>
      </c>
      <c r="F13" s="23">
        <f>F11-F12</f>
        <v/>
      </c>
      <c r="G13" s="23">
        <f>G11-G12</f>
        <v/>
      </c>
      <c r="H13" s="23">
        <f>H11-H12</f>
        <v/>
      </c>
      <c r="I13" s="23">
        <f>I11-I12</f>
        <v/>
      </c>
      <c r="J13" s="23">
        <f>J11-J12</f>
        <v/>
      </c>
      <c r="K13" s="23">
        <f>K11-K12</f>
        <v/>
      </c>
      <c r="L13" s="23">
        <f>L11-L12</f>
        <v/>
      </c>
      <c r="M13" s="23">
        <f>M11-M12</f>
        <v/>
      </c>
      <c r="N13" s="23">
        <f>N11-N12</f>
        <v/>
      </c>
      <c r="O13" s="23">
        <f>SUM(C13:N13)</f>
        <v/>
      </c>
    </row>
    <row r="15">
      <c r="A15" s="4" t="n"/>
      <c r="B15" s="4" t="inlineStr">
        <is>
          <t>РАСХОДЫ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B16" t="inlineStr">
        <is>
          <t>Расходы на авто (флот)</t>
        </is>
      </c>
      <c r="C16" s="22">
        <f>'UNIT ECONOMICS'!C20*C7</f>
        <v/>
      </c>
      <c r="D16" s="22">
        <f>'UNIT ECONOMICS'!C20*D7</f>
        <v/>
      </c>
      <c r="E16" s="22">
        <f>'UNIT ECONOMICS'!C20*E7</f>
        <v/>
      </c>
      <c r="F16" s="22">
        <f>'UNIT ECONOMICS'!C20*F7</f>
        <v/>
      </c>
      <c r="G16" s="22">
        <f>'UNIT ECONOMICS'!C20*G7</f>
        <v/>
      </c>
      <c r="H16" s="22">
        <f>'UNIT ECONOMICS'!C20*H7</f>
        <v/>
      </c>
      <c r="I16" s="22">
        <f>'UNIT ECONOMICS'!C20*I7</f>
        <v/>
      </c>
      <c r="J16" s="22">
        <f>'UNIT ECONOMICS'!C20*J7</f>
        <v/>
      </c>
      <c r="K16" s="22">
        <f>'UNIT ECONOMICS'!C20*K7</f>
        <v/>
      </c>
      <c r="L16" s="22">
        <f>'UNIT ECONOMICS'!C20*L7</f>
        <v/>
      </c>
      <c r="M16" s="22">
        <f>'UNIT ECONOMICS'!C20*M7</f>
        <v/>
      </c>
      <c r="N16" s="22">
        <f>'UNIT ECONOMICS'!C20*N7</f>
        <v/>
      </c>
      <c r="O16" s="23">
        <f>SUM(C16:N16)</f>
        <v/>
      </c>
    </row>
    <row r="17">
      <c r="B17" t="inlineStr">
        <is>
          <t>ФОТ (с налогами)</t>
        </is>
      </c>
      <c r="C17" s="22">
        <f>INPUTS!C26*INPUTS!C27*(1+INPUTS!C28)</f>
        <v/>
      </c>
      <c r="D17" s="22">
        <f>INPUTS!C26*INPUTS!C27*(1+INPUTS!C28)</f>
        <v/>
      </c>
      <c r="E17" s="22">
        <f>INPUTS!C26*INPUTS!C27*(1+INPUTS!C28)</f>
        <v/>
      </c>
      <c r="F17" s="22">
        <f>INPUTS!C26*INPUTS!C27*(1+INPUTS!C28)</f>
        <v/>
      </c>
      <c r="G17" s="22">
        <f>INPUTS!C26*INPUTS!C27*(1+INPUTS!C28)</f>
        <v/>
      </c>
      <c r="H17" s="22">
        <f>INPUTS!C26*INPUTS!C27*(1+INPUTS!C28)</f>
        <v/>
      </c>
      <c r="I17" s="22">
        <f>INPUTS!C26*INPUTS!C27*(1+INPUTS!C28)</f>
        <v/>
      </c>
      <c r="J17" s="22">
        <f>INPUTS!C26*INPUTS!C27*(1+INPUTS!C28)</f>
        <v/>
      </c>
      <c r="K17" s="22">
        <f>INPUTS!C26*INPUTS!C27*(1+INPUTS!C28)</f>
        <v/>
      </c>
      <c r="L17" s="22">
        <f>INPUTS!C26*INPUTS!C27*(1+INPUTS!C28)</f>
        <v/>
      </c>
      <c r="M17" s="22">
        <f>INPUTS!C26*INPUTS!C27*(1+INPUTS!C28)</f>
        <v/>
      </c>
      <c r="N17" s="22">
        <f>INPUTS!C26*INPUTS!C27*(1+INPUTS!C28)</f>
        <v/>
      </c>
      <c r="O17" s="23">
        <f>SUM(C17:N17)</f>
        <v/>
      </c>
    </row>
    <row r="18">
      <c r="B18" t="inlineStr">
        <is>
          <t>Аренда офиса</t>
        </is>
      </c>
      <c r="C18" s="22">
        <f>INPUTS!C29</f>
        <v/>
      </c>
      <c r="D18" s="22">
        <f>INPUTS!C29</f>
        <v/>
      </c>
      <c r="E18" s="22">
        <f>INPUTS!C29</f>
        <v/>
      </c>
      <c r="F18" s="22">
        <f>INPUTS!C29</f>
        <v/>
      </c>
      <c r="G18" s="22">
        <f>INPUTS!C29</f>
        <v/>
      </c>
      <c r="H18" s="22">
        <f>INPUTS!C29</f>
        <v/>
      </c>
      <c r="I18" s="22">
        <f>INPUTS!C29</f>
        <v/>
      </c>
      <c r="J18" s="22">
        <f>INPUTS!C29</f>
        <v/>
      </c>
      <c r="K18" s="22">
        <f>INPUTS!C29</f>
        <v/>
      </c>
      <c r="L18" s="22">
        <f>INPUTS!C29</f>
        <v/>
      </c>
      <c r="M18" s="22">
        <f>INPUTS!C29</f>
        <v/>
      </c>
      <c r="N18" s="22">
        <f>INPUTS!C29</f>
        <v/>
      </c>
      <c r="O18" s="23">
        <f>SUM(C18:N18)</f>
        <v/>
      </c>
    </row>
    <row r="19">
      <c r="B19" t="inlineStr">
        <is>
          <t>Маркетинг</t>
        </is>
      </c>
      <c r="C19" s="22">
        <f>INPUTS!C30</f>
        <v/>
      </c>
      <c r="D19" s="22">
        <f>INPUTS!C30</f>
        <v/>
      </c>
      <c r="E19" s="22">
        <f>INPUTS!C30</f>
        <v/>
      </c>
      <c r="F19" s="22">
        <f>INPUTS!C30</f>
        <v/>
      </c>
      <c r="G19" s="22">
        <f>INPUTS!C30</f>
        <v/>
      </c>
      <c r="H19" s="22">
        <f>INPUTS!C30</f>
        <v/>
      </c>
      <c r="I19" s="22">
        <f>INPUTS!C30</f>
        <v/>
      </c>
      <c r="J19" s="22">
        <f>INPUTS!C30</f>
        <v/>
      </c>
      <c r="K19" s="22">
        <f>INPUTS!C30</f>
        <v/>
      </c>
      <c r="L19" s="22">
        <f>INPUTS!C30</f>
        <v/>
      </c>
      <c r="M19" s="22">
        <f>INPUTS!C30</f>
        <v/>
      </c>
      <c r="N19" s="22">
        <f>INPUTS!C30</f>
        <v/>
      </c>
      <c r="O19" s="23">
        <f>SUM(C19:N19)</f>
        <v/>
      </c>
    </row>
    <row r="20">
      <c r="B20" t="inlineStr">
        <is>
          <t>Софт + Связь + Прочие</t>
        </is>
      </c>
      <c r="C20" s="22">
        <f>INPUTS!C31+INPUTS!C32+INPUTS!C33</f>
        <v/>
      </c>
      <c r="D20" s="22">
        <f>INPUTS!C31+INPUTS!C32+INPUTS!C33</f>
        <v/>
      </c>
      <c r="E20" s="22">
        <f>INPUTS!C31+INPUTS!C32+INPUTS!C33</f>
        <v/>
      </c>
      <c r="F20" s="22">
        <f>INPUTS!C31+INPUTS!C32+INPUTS!C33</f>
        <v/>
      </c>
      <c r="G20" s="22">
        <f>INPUTS!C31+INPUTS!C32+INPUTS!C33</f>
        <v/>
      </c>
      <c r="H20" s="22">
        <f>INPUTS!C31+INPUTS!C32+INPUTS!C33</f>
        <v/>
      </c>
      <c r="I20" s="22">
        <f>INPUTS!C31+INPUTS!C32+INPUTS!C33</f>
        <v/>
      </c>
      <c r="J20" s="22">
        <f>INPUTS!C31+INPUTS!C32+INPUTS!C33</f>
        <v/>
      </c>
      <c r="K20" s="22">
        <f>INPUTS!C31+INPUTS!C32+INPUTS!C33</f>
        <v/>
      </c>
      <c r="L20" s="22">
        <f>INPUTS!C31+INPUTS!C32+INPUTS!C33</f>
        <v/>
      </c>
      <c r="M20" s="22">
        <f>INPUTS!C31+INPUTS!C32+INPUTS!C33</f>
        <v/>
      </c>
      <c r="N20" s="22">
        <f>INPUTS!C31+INPUTS!C32+INPUTS!C33</f>
        <v/>
      </c>
      <c r="O20" s="23">
        <f>SUM(C20:N20)</f>
        <v/>
      </c>
    </row>
    <row r="21">
      <c r="B21" t="inlineStr">
        <is>
          <t>ИТОГО расходы</t>
        </is>
      </c>
      <c r="C21" s="23">
        <f>SUM(C16:C20)</f>
        <v/>
      </c>
      <c r="D21" s="23">
        <f>SUM(D16:D20)</f>
        <v/>
      </c>
      <c r="E21" s="23">
        <f>SUM(E16:E20)</f>
        <v/>
      </c>
      <c r="F21" s="23">
        <f>SUM(F16:F20)</f>
        <v/>
      </c>
      <c r="G21" s="23">
        <f>SUM(G16:G20)</f>
        <v/>
      </c>
      <c r="H21" s="23">
        <f>SUM(H16:H20)</f>
        <v/>
      </c>
      <c r="I21" s="23">
        <f>SUM(I16:I20)</f>
        <v/>
      </c>
      <c r="J21" s="23">
        <f>SUM(J16:J20)</f>
        <v/>
      </c>
      <c r="K21" s="23">
        <f>SUM(K16:K20)</f>
        <v/>
      </c>
      <c r="L21" s="23">
        <f>SUM(L16:L20)</f>
        <v/>
      </c>
      <c r="M21" s="23">
        <f>SUM(M16:M20)</f>
        <v/>
      </c>
      <c r="N21" s="23">
        <f>SUM(N16:N20)</f>
        <v/>
      </c>
      <c r="O21" s="23">
        <f>SUM(C21:N21)</f>
        <v/>
      </c>
    </row>
    <row r="23">
      <c r="A23" s="4" t="n"/>
      <c r="B23" s="4" t="inlineStr">
        <is>
          <t>ПРИБЫЛЬ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t="inlineStr">
        <is>
          <t>EBITDA</t>
        </is>
      </c>
      <c r="C24" s="23">
        <f>C13-C21</f>
        <v/>
      </c>
      <c r="D24" s="23">
        <f>D13-D21</f>
        <v/>
      </c>
      <c r="E24" s="23">
        <f>E13-E21</f>
        <v/>
      </c>
      <c r="F24" s="23">
        <f>F13-F21</f>
        <v/>
      </c>
      <c r="G24" s="23">
        <f>G13-G21</f>
        <v/>
      </c>
      <c r="H24" s="23">
        <f>H13-H21</f>
        <v/>
      </c>
      <c r="I24" s="23">
        <f>I13-I21</f>
        <v/>
      </c>
      <c r="J24" s="23">
        <f>J13-J21</f>
        <v/>
      </c>
      <c r="K24" s="23">
        <f>K13-K21</f>
        <v/>
      </c>
      <c r="L24" s="23">
        <f>L13-L21</f>
        <v/>
      </c>
      <c r="M24" s="23">
        <f>M13-M21</f>
        <v/>
      </c>
      <c r="N24" s="23">
        <f>N13-N21</f>
        <v/>
      </c>
      <c r="O24" s="23">
        <f>SUM(C24:N24)</f>
        <v/>
      </c>
    </row>
    <row r="25">
      <c r="B25" t="inlineStr">
        <is>
          <t>Маржа EBITDA</t>
        </is>
      </c>
      <c r="C25" s="19">
        <f>IF(C13&gt;0,C24/C13,0)</f>
        <v/>
      </c>
      <c r="D25" s="19">
        <f>IF(D13&gt;0,D24/D13,0)</f>
        <v/>
      </c>
      <c r="E25" s="19">
        <f>IF(E13&gt;0,E24/E13,0)</f>
        <v/>
      </c>
      <c r="F25" s="19">
        <f>IF(F13&gt;0,F24/F13,0)</f>
        <v/>
      </c>
      <c r="G25" s="19">
        <f>IF(G13&gt;0,G24/G13,0)</f>
        <v/>
      </c>
      <c r="H25" s="19">
        <f>IF(H13&gt;0,H24/H13,0)</f>
        <v/>
      </c>
      <c r="I25" s="19">
        <f>IF(I13&gt;0,I24/I13,0)</f>
        <v/>
      </c>
      <c r="J25" s="19">
        <f>IF(J13&gt;0,J24/J13,0)</f>
        <v/>
      </c>
      <c r="K25" s="19">
        <f>IF(K13&gt;0,K24/K13,0)</f>
        <v/>
      </c>
      <c r="L25" s="19">
        <f>IF(L13&gt;0,L24/L13,0)</f>
        <v/>
      </c>
      <c r="M25" s="19">
        <f>IF(M13&gt;0,M24/M13,0)</f>
        <v/>
      </c>
      <c r="N25" s="19">
        <f>IF(N13&gt;0,N24/N13,0)</f>
        <v/>
      </c>
      <c r="O25" s="19">
        <f>IF(O13&gt;0,O24/O13,0)</f>
        <v/>
      </c>
    </row>
    <row r="28">
      <c r="A28" s="4" t="n"/>
      <c r="B28" s="4" t="inlineStr">
        <is>
          <t>КВАРТАЛЬНАЯ СВОДКА</t>
        </is>
      </c>
      <c r="C28" s="4" t="n"/>
      <c r="D28" s="4" t="n"/>
      <c r="E28" s="4" t="n"/>
      <c r="F28" s="4" t="n"/>
      <c r="G28" s="4" t="n"/>
    </row>
    <row r="29">
      <c r="A29" s="11" t="n"/>
      <c r="B29" s="11" t="inlineStr"/>
      <c r="C29" s="11" t="inlineStr">
        <is>
          <t>Q1</t>
        </is>
      </c>
      <c r="D29" s="11" t="inlineStr">
        <is>
          <t>Q2</t>
        </is>
      </c>
      <c r="E29" s="11" t="inlineStr">
        <is>
          <t>Q3</t>
        </is>
      </c>
      <c r="F29" s="11" t="inlineStr">
        <is>
          <t>Q4</t>
        </is>
      </c>
      <c r="G29" s="11" t="inlineStr">
        <is>
          <t>ГОД</t>
        </is>
      </c>
    </row>
    <row r="30">
      <c r="B30" s="24" t="inlineStr">
        <is>
          <t>Выручка net</t>
        </is>
      </c>
      <c r="C30" s="25">
        <f>SUM(C13:E13)</f>
        <v/>
      </c>
      <c r="D30" s="25">
        <f>SUM(F13:H13)</f>
        <v/>
      </c>
      <c r="E30" s="25">
        <f>SUM(I13:K13)</f>
        <v/>
      </c>
      <c r="F30" s="25">
        <f>SUM(L13:N13)</f>
        <v/>
      </c>
      <c r="G30" s="25">
        <f>SUM(C30:F30)</f>
        <v/>
      </c>
    </row>
    <row r="31">
      <c r="B31" s="24" t="inlineStr">
        <is>
          <t>Расходы</t>
        </is>
      </c>
      <c r="C31" s="25">
        <f>SUM(C21:E21)</f>
        <v/>
      </c>
      <c r="D31" s="25">
        <f>SUM(F21:H21)</f>
        <v/>
      </c>
      <c r="E31" s="25">
        <f>SUM(I21:K21)</f>
        <v/>
      </c>
      <c r="F31" s="25">
        <f>SUM(L21:N21)</f>
        <v/>
      </c>
      <c r="G31" s="25">
        <f>SUM(C31:F31)</f>
        <v/>
      </c>
    </row>
    <row r="32">
      <c r="B32" s="24" t="inlineStr">
        <is>
          <t>EBITDA</t>
        </is>
      </c>
      <c r="C32" s="25">
        <f>SUM(C24:E24)</f>
        <v/>
      </c>
      <c r="D32" s="25">
        <f>SUM(F24:H24)</f>
        <v/>
      </c>
      <c r="E32" s="25">
        <f>SUM(I24:K24)</f>
        <v/>
      </c>
      <c r="F32" s="25">
        <f>SUM(L24:N24)</f>
        <v/>
      </c>
      <c r="G32" s="25">
        <f>SUM(C32:F32)</f>
        <v/>
      </c>
    </row>
  </sheetData>
  <mergeCells count="1">
    <mergeCell ref="B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35" customWidth="1" min="5" max="5"/>
  </cols>
  <sheetData>
    <row r="1">
      <c r="B1" s="1" t="inlineStr">
        <is>
          <t>P&amp;L — Отчёт о прибылях и убытках (годовой)</t>
        </is>
      </c>
    </row>
    <row r="3">
      <c r="A3" s="26" t="n"/>
      <c r="B3" s="26" t="inlineStr">
        <is>
          <t>Статья</t>
        </is>
      </c>
      <c r="C3" s="26" t="inlineStr">
        <is>
          <t>Сумма (год)</t>
        </is>
      </c>
      <c r="D3" s="26" t="inlineStr">
        <is>
          <t>% от выручки</t>
        </is>
      </c>
      <c r="E3" s="26" t="inlineStr">
        <is>
          <t>Комментарий</t>
        </is>
      </c>
    </row>
    <row r="5">
      <c r="A5" s="4" t="n"/>
      <c r="B5" s="4" t="inlineStr">
        <is>
          <t>ВЫРУЧКА</t>
        </is>
      </c>
      <c r="C5" s="4" t="n"/>
      <c r="D5" s="4" t="n"/>
      <c r="E5" s="4" t="n"/>
    </row>
    <row r="6">
      <c r="B6" s="5" t="inlineStr">
        <is>
          <t>Выручка (gross)</t>
        </is>
      </c>
      <c r="C6" s="27">
        <f>'FLEET PERFORMANCE'!C23/(1-INPUTS!C16)</f>
        <v/>
      </c>
      <c r="D6" s="28">
        <f>IF($C$8&gt;0,C6/$C$8,0)</f>
        <v/>
      </c>
      <c r="E6" s="7" t="inlineStr">
        <is>
          <t>Годовой доход флота до комиссии</t>
        </is>
      </c>
    </row>
    <row r="7">
      <c r="B7" s="5" t="inlineStr">
        <is>
          <t>Комиссия агрегаторов</t>
        </is>
      </c>
      <c r="C7" s="27">
        <f>C6*INPUTS!C16</f>
        <v/>
      </c>
      <c r="D7" s="28">
        <f>IF($C$8&gt;0,C7/$C$8,0)</f>
        <v/>
      </c>
      <c r="E7" s="7" t="inlineStr">
        <is>
          <t>% комиссии × Gross</t>
        </is>
      </c>
    </row>
    <row r="8">
      <c r="B8" s="5" t="inlineStr">
        <is>
          <t>Выручка (net)</t>
        </is>
      </c>
      <c r="C8" s="12">
        <f>C6-C7</f>
        <v/>
      </c>
      <c r="D8" s="28">
        <f>IF($C$8&gt;0,C8/$C$8,0)</f>
        <v/>
      </c>
      <c r="E8" s="7" t="inlineStr">
        <is>
          <t>Gross - Комиссии</t>
        </is>
      </c>
    </row>
    <row r="10">
      <c r="A10" s="4" t="n"/>
      <c r="B10" s="4" t="inlineStr">
        <is>
          <t>СЕБЕСТОИМОСТЬ (COGS)</t>
        </is>
      </c>
      <c r="C10" s="4" t="n"/>
      <c r="D10" s="4" t="n"/>
      <c r="E10" s="4" t="n"/>
    </row>
    <row r="11">
      <c r="B11" s="5" t="inlineStr">
        <is>
          <t>Амортизация автопарка</t>
        </is>
      </c>
      <c r="C11" s="27">
        <f>INPUTS!C6*INPUTS!C7*(1-INPUTS!C9)/INPUTS!C8</f>
        <v/>
      </c>
      <c r="D11" s="28">
        <f>IF($C$8&gt;0,C11/$C$8,0)</f>
        <v/>
      </c>
      <c r="E11" s="7" t="inlineStr">
        <is>
          <t>Амортизация всего флота за год</t>
        </is>
      </c>
    </row>
    <row r="12">
      <c r="B12" s="5" t="inlineStr">
        <is>
          <t>Страховка</t>
        </is>
      </c>
      <c r="C12" s="27">
        <f>INPUTS!C19*INPUTS!C6*12</f>
        <v/>
      </c>
      <c r="D12" s="28">
        <f>IF($C$8&gt;0,C12/$C$8,0)</f>
        <v/>
      </c>
      <c r="E12" s="7" t="inlineStr">
        <is>
          <t>На авто × Флот × 12</t>
        </is>
      </c>
    </row>
    <row r="13">
      <c r="B13" s="5" t="inlineStr">
        <is>
          <t>Ремонт и обслуживание</t>
        </is>
      </c>
      <c r="C13" s="27">
        <f>INPUTS!C20*INPUTS!C6*12</f>
        <v/>
      </c>
      <c r="D13" s="28">
        <f>IF($C$8&gt;0,C13/$C$8,0)</f>
        <v/>
      </c>
      <c r="E13" s="24" t="n"/>
    </row>
    <row r="14">
      <c r="B14" s="5" t="inlineStr">
        <is>
          <t>Парковка</t>
        </is>
      </c>
      <c r="C14" s="27">
        <f>INPUTS!C21*INPUTS!C6*12</f>
        <v/>
      </c>
      <c r="D14" s="28">
        <f>IF($C$8&gt;0,C14/$C$8,0)</f>
        <v/>
      </c>
      <c r="E14" s="24" t="n"/>
    </row>
    <row r="15">
      <c r="B15" s="5" t="inlineStr">
        <is>
          <t>Топливо / подготовка</t>
        </is>
      </c>
      <c r="C15" s="27">
        <f>INPUTS!C22*INPUTS!C6*12</f>
        <v/>
      </c>
      <c r="D15" s="28">
        <f>IF($C$8&gt;0,C15/$C$8,0)</f>
        <v/>
      </c>
      <c r="E15" s="24" t="n"/>
    </row>
    <row r="16">
      <c r="B16" s="5" t="inlineStr">
        <is>
          <t>ITV + налоги</t>
        </is>
      </c>
      <c r="C16" s="27">
        <f>INPUTS!C23*INPUTS!C6</f>
        <v/>
      </c>
      <c r="D16" s="28">
        <f>IF($C$8&gt;0,C16/$C$8,0)</f>
        <v/>
      </c>
      <c r="E16" s="24" t="n"/>
    </row>
    <row r="17">
      <c r="B17" s="5" t="inlineStr">
        <is>
          <t>ИТОГО себестоимость</t>
        </is>
      </c>
      <c r="C17" s="27">
        <f>SUM(C11:C16)</f>
        <v/>
      </c>
      <c r="D17" s="28">
        <f>IF($C$8&gt;0,C17/$C$8,0)</f>
        <v/>
      </c>
      <c r="E17" s="24" t="n"/>
    </row>
    <row r="19">
      <c r="A19" s="4" t="n"/>
      <c r="B19" s="4" t="inlineStr">
        <is>
          <t>ВАЛОВАЯ ПРИБЫЛЬ</t>
        </is>
      </c>
      <c r="C19" s="12">
        <f>C8-C17</f>
        <v/>
      </c>
      <c r="D19" s="29">
        <f>IF($C$8&gt;0,C19/$C$8,0)</f>
        <v/>
      </c>
      <c r="E19" s="4" t="n"/>
    </row>
    <row r="20">
      <c r="B20" s="5" t="inlineStr">
        <is>
          <t>Маржинальность валовой прибыли</t>
        </is>
      </c>
      <c r="C20" s="24" t="n"/>
      <c r="D20" s="28">
        <f>IF(C8&gt;0,C19/C8,0)</f>
        <v/>
      </c>
      <c r="E20" s="7" t="inlineStr">
        <is>
          <t>Валовая прибыль / Выручка net</t>
        </is>
      </c>
    </row>
    <row r="22">
      <c r="A22" s="4" t="n"/>
      <c r="B22" s="4" t="inlineStr">
        <is>
          <t>ОПЕРАЦИОННЫЕ РАСХОДЫ (OPEX)</t>
        </is>
      </c>
      <c r="C22" s="4" t="n"/>
      <c r="D22" s="4" t="n"/>
      <c r="E22" s="4" t="n"/>
    </row>
    <row r="23">
      <c r="B23" s="5" t="inlineStr">
        <is>
          <t>ФОТ (с налогами на зарплату)</t>
        </is>
      </c>
      <c r="C23" s="27">
        <f>INPUTS!C26*INPUTS!C27*(1+INPUTS!C28)*12</f>
        <v/>
      </c>
      <c r="D23" s="28">
        <f>IF($C$8&gt;0,C23/$C$8,0)</f>
        <v/>
      </c>
      <c r="E23" s="7" t="inlineStr">
        <is>
          <t>Сотрудники × ЗП × (1+налог) × 12</t>
        </is>
      </c>
    </row>
    <row r="24">
      <c r="B24" s="5" t="inlineStr">
        <is>
          <t>Аренда офиса / точки</t>
        </is>
      </c>
      <c r="C24" s="27">
        <f>INPUTS!C29*12</f>
        <v/>
      </c>
      <c r="D24" s="28">
        <f>IF($C$8&gt;0,C24/$C$8,0)</f>
        <v/>
      </c>
      <c r="E24" s="7" t="inlineStr">
        <is>
          <t>× 12 месяцев</t>
        </is>
      </c>
    </row>
    <row r="25">
      <c r="B25" s="5" t="inlineStr">
        <is>
          <t>Маркетинг и реклама</t>
        </is>
      </c>
      <c r="C25" s="27">
        <f>INPUTS!C30*12</f>
        <v/>
      </c>
      <c r="D25" s="28">
        <f>IF($C$8&gt;0,C25/$C$8,0)</f>
        <v/>
      </c>
      <c r="E25" s="7" t="inlineStr">
        <is>
          <t>× 12 месяцев</t>
        </is>
      </c>
    </row>
    <row r="26">
      <c r="B26" s="5" t="inlineStr">
        <is>
          <t>Софт и IT</t>
        </is>
      </c>
      <c r="C26" s="27">
        <f>INPUTS!C31*12</f>
        <v/>
      </c>
      <c r="D26" s="28">
        <f>IF($C$8&gt;0,C26/$C$8,0)</f>
        <v/>
      </c>
      <c r="E26" s="24" t="n"/>
    </row>
    <row r="27">
      <c r="B27" s="5" t="inlineStr">
        <is>
          <t>Связь и интернет</t>
        </is>
      </c>
      <c r="C27" s="27">
        <f>INPUTS!C32*12</f>
        <v/>
      </c>
      <c r="D27" s="28">
        <f>IF($C$8&gt;0,C27/$C$8,0)</f>
        <v/>
      </c>
      <c r="E27" s="24" t="n"/>
    </row>
    <row r="28">
      <c r="B28" s="5" t="inlineStr">
        <is>
          <t>Прочие расходы</t>
        </is>
      </c>
      <c r="C28" s="27">
        <f>INPUTS!C33*12</f>
        <v/>
      </c>
      <c r="D28" s="28">
        <f>IF($C$8&gt;0,C28/$C$8,0)</f>
        <v/>
      </c>
      <c r="E28" s="24" t="n"/>
    </row>
    <row r="29">
      <c r="B29" s="5" t="inlineStr">
        <is>
          <t>ИТОГО OPEX</t>
        </is>
      </c>
      <c r="C29" s="27">
        <f>SUM(C23:C28)</f>
        <v/>
      </c>
      <c r="D29" s="28">
        <f>IF($C$8&gt;0,C29/$C$8,0)</f>
        <v/>
      </c>
      <c r="E29" s="24" t="n"/>
    </row>
    <row r="31">
      <c r="A31" s="4" t="n"/>
      <c r="B31" s="4" t="inlineStr">
        <is>
          <t>EBITDA</t>
        </is>
      </c>
      <c r="C31" s="12">
        <f>C19-C29</f>
        <v/>
      </c>
      <c r="D31" s="29">
        <f>IF($C$8&gt;0,C31/$C$8,0)</f>
        <v/>
      </c>
      <c r="E31" s="4" t="n"/>
    </row>
    <row r="32">
      <c r="B32" s="5" t="inlineStr">
        <is>
          <t>Маржа EBITDA</t>
        </is>
      </c>
      <c r="C32" s="24" t="n"/>
      <c r="D32" s="28">
        <f>IF(C8&gt;0,C31/C8,0)</f>
        <v/>
      </c>
      <c r="E32" s="24" t="n"/>
    </row>
    <row r="34">
      <c r="B34" s="5" t="inlineStr">
        <is>
          <t>Амортизация (уже учтена в COGS)</t>
        </is>
      </c>
      <c r="C34" s="27">
        <f>C11</f>
        <v/>
      </c>
      <c r="D34" s="28">
        <f>IF($C$8&gt;0,C34/$C$8,0)</f>
        <v/>
      </c>
      <c r="E34" s="7" t="inlineStr">
        <is>
          <t>Для справки</t>
        </is>
      </c>
    </row>
    <row r="35">
      <c r="B35" s="5" t="inlineStr">
        <is>
          <t>EBIT</t>
        </is>
      </c>
      <c r="C35" s="27">
        <f>C31</f>
        <v/>
      </c>
      <c r="D35" s="28">
        <f>IF($C$8&gt;0,C35/$C$8,0)</f>
        <v/>
      </c>
      <c r="E35" s="7">
        <f> EBITDA (аморт. уже в COGS)</f>
        <v/>
      </c>
    </row>
    <row r="37">
      <c r="B37" s="5" t="inlineStr">
        <is>
          <t>НАЛОГ НА ПРИБЫЛЬ</t>
        </is>
      </c>
      <c r="C37" s="27">
        <f>IF(C35&gt;0,C35*INPUTS!C42,0)</f>
        <v/>
      </c>
      <c r="D37" s="28">
        <f>IF($C$8&gt;0,C37/$C$8,0)</f>
        <v/>
      </c>
      <c r="E37" s="7" t="inlineStr">
        <is>
          <t>Ставка из INPUTS</t>
        </is>
      </c>
    </row>
    <row r="39">
      <c r="A39" s="4" t="n"/>
      <c r="B39" s="4" t="inlineStr">
        <is>
          <t>ЧИСТАЯ ПРИБЫЛЬ</t>
        </is>
      </c>
      <c r="C39" s="12">
        <f>C35-C37</f>
        <v/>
      </c>
      <c r="D39" s="29">
        <f>IF($C$8&gt;0,C39/$C$8,0)</f>
        <v/>
      </c>
      <c r="E39" s="4" t="n"/>
    </row>
    <row r="40">
      <c r="B40" s="5" t="inlineStr">
        <is>
          <t>Рентабельность чистой прибыли</t>
        </is>
      </c>
      <c r="C40" s="24" t="n"/>
      <c r="D40" s="28">
        <f>IF(C8&gt;0,C39/C8,0)</f>
        <v/>
      </c>
      <c r="E40" s="24" t="n"/>
    </row>
  </sheetData>
  <mergeCells count="1">
    <mergeCell ref="B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1" t="inlineStr">
        <is>
          <t>CASH FLOW — Движение денежных средств (12 месяцев)</t>
        </is>
      </c>
    </row>
    <row r="3">
      <c r="A3" s="30" t="n"/>
      <c r="B3" s="30" t="inlineStr">
        <is>
          <t>Статья</t>
        </is>
      </c>
      <c r="C3" s="30" t="inlineStr">
        <is>
          <t>Enero</t>
        </is>
      </c>
      <c r="D3" s="30" t="inlineStr">
        <is>
          <t>Febrero</t>
        </is>
      </c>
      <c r="E3" s="30" t="inlineStr">
        <is>
          <t>Marzo</t>
        </is>
      </c>
      <c r="F3" s="30" t="inlineStr">
        <is>
          <t>Abril</t>
        </is>
      </c>
      <c r="G3" s="30" t="inlineStr">
        <is>
          <t>Mayo</t>
        </is>
      </c>
      <c r="H3" s="30" t="inlineStr">
        <is>
          <t>Junio</t>
        </is>
      </c>
      <c r="I3" s="30" t="inlineStr">
        <is>
          <t>Julio</t>
        </is>
      </c>
      <c r="J3" s="30" t="inlineStr">
        <is>
          <t>Agosto</t>
        </is>
      </c>
      <c r="K3" s="30" t="inlineStr">
        <is>
          <t>Septiembre</t>
        </is>
      </c>
      <c r="L3" s="30" t="inlineStr">
        <is>
          <t>Octubre</t>
        </is>
      </c>
      <c r="M3" s="30" t="inlineStr">
        <is>
          <t>Noviembre</t>
        </is>
      </c>
      <c r="N3" s="30" t="inlineStr">
        <is>
          <t>Diciembre</t>
        </is>
      </c>
      <c r="O3" s="30" t="inlineStr">
        <is>
          <t>ИТОГО</t>
        </is>
      </c>
    </row>
    <row r="5">
      <c r="A5" s="4" t="n"/>
      <c r="B5" s="4" t="inlineStr">
        <is>
          <t>ОПЕРАЦИОННЫЕ ПОСТУПЛЕНИЯ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t="inlineStr">
        <is>
          <t>Выручка от аренды (net)</t>
        </is>
      </c>
      <c r="C6" s="22">
        <f>'REVENUE FORECAST'!C13</f>
        <v/>
      </c>
      <c r="D6" s="22">
        <f>'REVENUE FORECAST'!D13</f>
        <v/>
      </c>
      <c r="E6" s="22">
        <f>'REVENUE FORECAST'!E13</f>
        <v/>
      </c>
      <c r="F6" s="22">
        <f>'REVENUE FORECAST'!F13</f>
        <v/>
      </c>
      <c r="G6" s="22">
        <f>'REVENUE FORECAST'!G13</f>
        <v/>
      </c>
      <c r="H6" s="22">
        <f>'REVENUE FORECAST'!H13</f>
        <v/>
      </c>
      <c r="I6" s="22">
        <f>'REVENUE FORECAST'!I13</f>
        <v/>
      </c>
      <c r="J6" s="22">
        <f>'REVENUE FORECAST'!J13</f>
        <v/>
      </c>
      <c r="K6" s="22">
        <f>'REVENUE FORECAST'!K13</f>
        <v/>
      </c>
      <c r="L6" s="22">
        <f>'REVENUE FORECAST'!L13</f>
        <v/>
      </c>
      <c r="M6" s="22">
        <f>'REVENUE FORECAST'!M13</f>
        <v/>
      </c>
      <c r="N6" s="22">
        <f>'REVENUE FORECAST'!N13</f>
        <v/>
      </c>
      <c r="O6" s="23">
        <f>SUM(C6:N6)</f>
        <v/>
      </c>
    </row>
    <row r="7">
      <c r="B7" t="inlineStr">
        <is>
          <t>Залоги (депозиты) — приход</t>
        </is>
      </c>
      <c r="C7" s="22">
        <f>300*'REVENUE FORECAST'!C7*INPUTS!C15</f>
        <v/>
      </c>
      <c r="D7" s="22">
        <f>300*'REVENUE FORECAST'!D7*INPUTS!C15</f>
        <v/>
      </c>
      <c r="E7" s="22">
        <f>300*'REVENUE FORECAST'!E7*INPUTS!C15</f>
        <v/>
      </c>
      <c r="F7" s="22">
        <f>300*'REVENUE FORECAST'!F7*INPUTS!C15</f>
        <v/>
      </c>
      <c r="G7" s="22">
        <f>300*'REVENUE FORECAST'!G7*INPUTS!C15</f>
        <v/>
      </c>
      <c r="H7" s="22">
        <f>300*'REVENUE FORECAST'!H7*INPUTS!C15</f>
        <v/>
      </c>
      <c r="I7" s="22">
        <f>300*'REVENUE FORECAST'!I7*INPUTS!C15</f>
        <v/>
      </c>
      <c r="J7" s="22">
        <f>300*'REVENUE FORECAST'!J7*INPUTS!C15</f>
        <v/>
      </c>
      <c r="K7" s="22">
        <f>300*'REVENUE FORECAST'!K7*INPUTS!C15</f>
        <v/>
      </c>
      <c r="L7" s="22">
        <f>300*'REVENUE FORECAST'!L7*INPUTS!C15</f>
        <v/>
      </c>
      <c r="M7" s="22">
        <f>300*'REVENUE FORECAST'!M7*INPUTS!C15</f>
        <v/>
      </c>
      <c r="N7" s="22">
        <f>300*'REVENUE FORECAST'!N7*INPUTS!C15</f>
        <v/>
      </c>
      <c r="O7" s="23">
        <f>SUM(C7:N7)</f>
        <v/>
      </c>
    </row>
    <row r="8">
      <c r="B8" t="inlineStr">
        <is>
          <t>Возврат залогов</t>
        </is>
      </c>
      <c r="C8" s="22">
        <f>-C7*0.95</f>
        <v/>
      </c>
      <c r="D8" s="22">
        <f>-D7*0.95</f>
        <v/>
      </c>
      <c r="E8" s="22">
        <f>-E7*0.95</f>
        <v/>
      </c>
      <c r="F8" s="22">
        <f>-F7*0.95</f>
        <v/>
      </c>
      <c r="G8" s="22">
        <f>-G7*0.95</f>
        <v/>
      </c>
      <c r="H8" s="22">
        <f>-H7*0.95</f>
        <v/>
      </c>
      <c r="I8" s="22">
        <f>-I7*0.95</f>
        <v/>
      </c>
      <c r="J8" s="22">
        <f>-J7*0.95</f>
        <v/>
      </c>
      <c r="K8" s="22">
        <f>-K7*0.95</f>
        <v/>
      </c>
      <c r="L8" s="22">
        <f>-L7*0.95</f>
        <v/>
      </c>
      <c r="M8" s="22">
        <f>-M7*0.95</f>
        <v/>
      </c>
      <c r="N8" s="22">
        <f>-N7*0.95</f>
        <v/>
      </c>
      <c r="O8" s="23">
        <f>SUM(C8:N8)</f>
        <v/>
      </c>
    </row>
    <row r="9">
      <c r="B9" t="inlineStr">
        <is>
          <t>ИТОГО поступления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SUM(C9:N9)</f>
        <v/>
      </c>
    </row>
    <row r="11">
      <c r="A11" s="4" t="n"/>
      <c r="B11" s="4" t="inlineStr">
        <is>
          <t>ОПЕРАЦИОННЫЕ РАСХОДЫ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B12" t="inlineStr">
        <is>
          <t>Расходы на автопарк</t>
        </is>
      </c>
      <c r="C12" s="22">
        <f>-'REVENUE FORECAST'!C16</f>
        <v/>
      </c>
      <c r="D12" s="22">
        <f>-'REVENUE FORECAST'!D16</f>
        <v/>
      </c>
      <c r="E12" s="22">
        <f>-'REVENUE FORECAST'!E16</f>
        <v/>
      </c>
      <c r="F12" s="22">
        <f>-'REVENUE FORECAST'!F16</f>
        <v/>
      </c>
      <c r="G12" s="22">
        <f>-'REVENUE FORECAST'!G16</f>
        <v/>
      </c>
      <c r="H12" s="22">
        <f>-'REVENUE FORECAST'!H16</f>
        <v/>
      </c>
      <c r="I12" s="22">
        <f>-'REVENUE FORECAST'!I16</f>
        <v/>
      </c>
      <c r="J12" s="22">
        <f>-'REVENUE FORECAST'!J16</f>
        <v/>
      </c>
      <c r="K12" s="22">
        <f>-'REVENUE FORECAST'!K16</f>
        <v/>
      </c>
      <c r="L12" s="22">
        <f>-'REVENUE FORECAST'!L16</f>
        <v/>
      </c>
      <c r="M12" s="22">
        <f>-'REVENUE FORECAST'!M16</f>
        <v/>
      </c>
      <c r="N12" s="22">
        <f>-'REVENUE FORECAST'!N16</f>
        <v/>
      </c>
      <c r="O12" s="23">
        <f>SUM(C12:N12)</f>
        <v/>
      </c>
    </row>
    <row r="13">
      <c r="B13" t="inlineStr">
        <is>
          <t>ФОТ</t>
        </is>
      </c>
      <c r="C13" s="22">
        <f>-'REVENUE FORECAST'!C17</f>
        <v/>
      </c>
      <c r="D13" s="22">
        <f>-'REVENUE FORECAST'!D17</f>
        <v/>
      </c>
      <c r="E13" s="22">
        <f>-'REVENUE FORECAST'!E17</f>
        <v/>
      </c>
      <c r="F13" s="22">
        <f>-'REVENUE FORECAST'!F17</f>
        <v/>
      </c>
      <c r="G13" s="22">
        <f>-'REVENUE FORECAST'!G17</f>
        <v/>
      </c>
      <c r="H13" s="22">
        <f>-'REVENUE FORECAST'!H17</f>
        <v/>
      </c>
      <c r="I13" s="22">
        <f>-'REVENUE FORECAST'!I17</f>
        <v/>
      </c>
      <c r="J13" s="22">
        <f>-'REVENUE FORECAST'!J17</f>
        <v/>
      </c>
      <c r="K13" s="22">
        <f>-'REVENUE FORECAST'!K17</f>
        <v/>
      </c>
      <c r="L13" s="22">
        <f>-'REVENUE FORECAST'!L17</f>
        <v/>
      </c>
      <c r="M13" s="22">
        <f>-'REVENUE FORECAST'!M17</f>
        <v/>
      </c>
      <c r="N13" s="22">
        <f>-'REVENUE FORECAST'!N17</f>
        <v/>
      </c>
      <c r="O13" s="23">
        <f>SUM(C13:N13)</f>
        <v/>
      </c>
    </row>
    <row r="14">
      <c r="B14" t="inlineStr">
        <is>
          <t>Аренда офиса</t>
        </is>
      </c>
      <c r="C14" s="22">
        <f>-'REVENUE FORECAST'!C18</f>
        <v/>
      </c>
      <c r="D14" s="22">
        <f>-'REVENUE FORECAST'!D18</f>
        <v/>
      </c>
      <c r="E14" s="22">
        <f>-'REVENUE FORECAST'!E18</f>
        <v/>
      </c>
      <c r="F14" s="22">
        <f>-'REVENUE FORECAST'!F18</f>
        <v/>
      </c>
      <c r="G14" s="22">
        <f>-'REVENUE FORECAST'!G18</f>
        <v/>
      </c>
      <c r="H14" s="22">
        <f>-'REVENUE FORECAST'!H18</f>
        <v/>
      </c>
      <c r="I14" s="22">
        <f>-'REVENUE FORECAST'!I18</f>
        <v/>
      </c>
      <c r="J14" s="22">
        <f>-'REVENUE FORECAST'!J18</f>
        <v/>
      </c>
      <c r="K14" s="22">
        <f>-'REVENUE FORECAST'!K18</f>
        <v/>
      </c>
      <c r="L14" s="22">
        <f>-'REVENUE FORECAST'!L18</f>
        <v/>
      </c>
      <c r="M14" s="22">
        <f>-'REVENUE FORECAST'!M18</f>
        <v/>
      </c>
      <c r="N14" s="22">
        <f>-'REVENUE FORECAST'!N18</f>
        <v/>
      </c>
      <c r="O14" s="23">
        <f>SUM(C14:N14)</f>
        <v/>
      </c>
    </row>
    <row r="15">
      <c r="B15" t="inlineStr">
        <is>
          <t>Маркетинг</t>
        </is>
      </c>
      <c r="C15" s="22">
        <f>-'REVENUE FORECAST'!C19</f>
        <v/>
      </c>
      <c r="D15" s="22">
        <f>-'REVENUE FORECAST'!D19</f>
        <v/>
      </c>
      <c r="E15" s="22">
        <f>-'REVENUE FORECAST'!E19</f>
        <v/>
      </c>
      <c r="F15" s="22">
        <f>-'REVENUE FORECAST'!F19</f>
        <v/>
      </c>
      <c r="G15" s="22">
        <f>-'REVENUE FORECAST'!G19</f>
        <v/>
      </c>
      <c r="H15" s="22">
        <f>-'REVENUE FORECAST'!H19</f>
        <v/>
      </c>
      <c r="I15" s="22">
        <f>-'REVENUE FORECAST'!I19</f>
        <v/>
      </c>
      <c r="J15" s="22">
        <f>-'REVENUE FORECAST'!J19</f>
        <v/>
      </c>
      <c r="K15" s="22">
        <f>-'REVENUE FORECAST'!K19</f>
        <v/>
      </c>
      <c r="L15" s="22">
        <f>-'REVENUE FORECAST'!L19</f>
        <v/>
      </c>
      <c r="M15" s="22">
        <f>-'REVENUE FORECAST'!M19</f>
        <v/>
      </c>
      <c r="N15" s="22">
        <f>-'REVENUE FORECAST'!N19</f>
        <v/>
      </c>
      <c r="O15" s="23">
        <f>SUM(C15:N15)</f>
        <v/>
      </c>
    </row>
    <row r="16">
      <c r="B16" t="inlineStr">
        <is>
          <t>Софт + Связь + Прочие</t>
        </is>
      </c>
      <c r="C16" s="22">
        <f>-'REVENUE FORECAST'!C20</f>
        <v/>
      </c>
      <c r="D16" s="22">
        <f>-'REVENUE FORECAST'!D20</f>
        <v/>
      </c>
      <c r="E16" s="22">
        <f>-'REVENUE FORECAST'!E20</f>
        <v/>
      </c>
      <c r="F16" s="22">
        <f>-'REVENUE FORECAST'!F20</f>
        <v/>
      </c>
      <c r="G16" s="22">
        <f>-'REVENUE FORECAST'!G20</f>
        <v/>
      </c>
      <c r="H16" s="22">
        <f>-'REVENUE FORECAST'!H20</f>
        <v/>
      </c>
      <c r="I16" s="22">
        <f>-'REVENUE FORECAST'!I20</f>
        <v/>
      </c>
      <c r="J16" s="22">
        <f>-'REVENUE FORECAST'!J20</f>
        <v/>
      </c>
      <c r="K16" s="22">
        <f>-'REVENUE FORECAST'!K20</f>
        <v/>
      </c>
      <c r="L16" s="22">
        <f>-'REVENUE FORECAST'!L20</f>
        <v/>
      </c>
      <c r="M16" s="22">
        <f>-'REVENUE FORECAST'!M20</f>
        <v/>
      </c>
      <c r="N16" s="22">
        <f>-'REVENUE FORECAST'!N20</f>
        <v/>
      </c>
      <c r="O16" s="23">
        <f>SUM(C16:N16)</f>
        <v/>
      </c>
    </row>
    <row r="17">
      <c r="B17" t="inlineStr">
        <is>
          <t>Налог на прибыль (квартальный)</t>
        </is>
      </c>
      <c r="C17" s="22" t="n">
        <v>0</v>
      </c>
      <c r="D17" s="22" t="n">
        <v>0</v>
      </c>
      <c r="E17" s="22">
        <f>-'P&amp;L'!C37/4</f>
        <v/>
      </c>
      <c r="F17" s="22" t="n">
        <v>0</v>
      </c>
      <c r="G17" s="22" t="n">
        <v>0</v>
      </c>
      <c r="H17" s="22">
        <f>-'P&amp;L'!C37/4</f>
        <v/>
      </c>
      <c r="I17" s="22" t="n">
        <v>0</v>
      </c>
      <c r="J17" s="22" t="n">
        <v>0</v>
      </c>
      <c r="K17" s="22">
        <f>-'P&amp;L'!C37/4</f>
        <v/>
      </c>
      <c r="L17" s="22" t="n">
        <v>0</v>
      </c>
      <c r="M17" s="22" t="n">
        <v>0</v>
      </c>
      <c r="N17" s="22">
        <f>-'P&amp;L'!C37/4</f>
        <v/>
      </c>
      <c r="O17" s="23">
        <f>SUM(C17:N17)</f>
        <v/>
      </c>
    </row>
    <row r="18">
      <c r="B18" t="inlineStr">
        <is>
          <t>ИТОГО расходы</t>
        </is>
      </c>
      <c r="C18" s="23">
        <f>SUM(C12:C17)</f>
        <v/>
      </c>
      <c r="D18" s="23">
        <f>SUM(D12:D17)</f>
        <v/>
      </c>
      <c r="E18" s="23">
        <f>SUM(E12:E17)</f>
        <v/>
      </c>
      <c r="F18" s="23">
        <f>SUM(F12:F17)</f>
        <v/>
      </c>
      <c r="G18" s="23">
        <f>SUM(G12:G17)</f>
        <v/>
      </c>
      <c r="H18" s="23">
        <f>SUM(H12:H17)</f>
        <v/>
      </c>
      <c r="I18" s="23">
        <f>SUM(I12:I17)</f>
        <v/>
      </c>
      <c r="J18" s="23">
        <f>SUM(J12:J17)</f>
        <v/>
      </c>
      <c r="K18" s="23">
        <f>SUM(K12:K17)</f>
        <v/>
      </c>
      <c r="L18" s="23">
        <f>SUM(L12:L17)</f>
        <v/>
      </c>
      <c r="M18" s="23">
        <f>SUM(M12:M17)</f>
        <v/>
      </c>
      <c r="N18" s="23">
        <f>SUM(N12:N17)</f>
        <v/>
      </c>
      <c r="O18" s="23">
        <f>SUM(C18:N18)</f>
        <v/>
      </c>
    </row>
    <row r="20">
      <c r="A20" s="4" t="n"/>
      <c r="B20" s="4" t="inlineStr">
        <is>
          <t>ИНВЕСТИЦИИ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B21" t="inlineStr">
        <is>
          <t>Покупка новых автомобилей</t>
        </is>
      </c>
      <c r="C21" s="22" t="n">
        <v>0</v>
      </c>
      <c r="D21" s="22">
        <f>-MAX(0,'REVENUE FORECAST'!D7-'REVENUE FORECAST'!C7)*INPUTS!C7</f>
        <v/>
      </c>
      <c r="E21" s="22">
        <f>-MAX(0,'REVENUE FORECAST'!E7-'REVENUE FORECAST'!D7)*INPUTS!C7</f>
        <v/>
      </c>
      <c r="F21" s="22">
        <f>-MAX(0,'REVENUE FORECAST'!F7-'REVENUE FORECAST'!E7)*INPUTS!C7</f>
        <v/>
      </c>
      <c r="G21" s="22">
        <f>-MAX(0,'REVENUE FORECAST'!G7-'REVENUE FORECAST'!F7)*INPUTS!C7</f>
        <v/>
      </c>
      <c r="H21" s="22">
        <f>-MAX(0,'REVENUE FORECAST'!H7-'REVENUE FORECAST'!G7)*INPUTS!C7</f>
        <v/>
      </c>
      <c r="I21" s="22">
        <f>-MAX(0,'REVENUE FORECAST'!I7-'REVENUE FORECAST'!H7)*INPUTS!C7</f>
        <v/>
      </c>
      <c r="J21" s="22">
        <f>-MAX(0,'REVENUE FORECAST'!J7-'REVENUE FORECAST'!I7)*INPUTS!C7</f>
        <v/>
      </c>
      <c r="K21" s="22">
        <f>-MAX(0,'REVENUE FORECAST'!K7-'REVENUE FORECAST'!J7)*INPUTS!C7</f>
        <v/>
      </c>
      <c r="L21" s="22">
        <f>-MAX(0,'REVENUE FORECAST'!L7-'REVENUE FORECAST'!K7)*INPUTS!C7</f>
        <v/>
      </c>
      <c r="M21" s="22">
        <f>-MAX(0,'REVENUE FORECAST'!M7-'REVENUE FORECAST'!L7)*INPUTS!C7</f>
        <v/>
      </c>
      <c r="N21" s="22">
        <f>-MAX(0,'REVENUE FORECAST'!N7-'REVENUE FORECAST'!M7)*INPUTS!C7</f>
        <v/>
      </c>
      <c r="O21" s="23">
        <f>SUM(C21:N21)</f>
        <v/>
      </c>
    </row>
    <row r="22">
      <c r="B22" t="inlineStr">
        <is>
          <t>Продажа старых авто (выручка)</t>
        </is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31" t="n">
        <v>0</v>
      </c>
      <c r="K22" s="31" t="n">
        <v>0</v>
      </c>
      <c r="L22" s="31" t="n">
        <v>0</v>
      </c>
      <c r="M22" s="31" t="n">
        <v>0</v>
      </c>
      <c r="N22" s="31" t="n">
        <v>0</v>
      </c>
      <c r="O22" s="23">
        <f>SUM(C22:N22)</f>
        <v/>
      </c>
    </row>
    <row r="24">
      <c r="A24" s="4" t="n"/>
      <c r="B24" s="4" t="inlineStr">
        <is>
          <t>ДЕНЕЖНЫЙ ПОТОК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t="inlineStr">
        <is>
          <t>Операционный денежный поток</t>
        </is>
      </c>
      <c r="C25" s="22">
        <f>C9+C18</f>
        <v/>
      </c>
      <c r="D25" s="22">
        <f>D9+D18</f>
        <v/>
      </c>
      <c r="E25" s="22">
        <f>E9+E18</f>
        <v/>
      </c>
      <c r="F25" s="22">
        <f>F9+F18</f>
        <v/>
      </c>
      <c r="G25" s="22">
        <f>G9+G18</f>
        <v/>
      </c>
      <c r="H25" s="22">
        <f>H9+H18</f>
        <v/>
      </c>
      <c r="I25" s="22">
        <f>I9+I18</f>
        <v/>
      </c>
      <c r="J25" s="22">
        <f>J9+J18</f>
        <v/>
      </c>
      <c r="K25" s="22">
        <f>K9+K18</f>
        <v/>
      </c>
      <c r="L25" s="22">
        <f>L9+L18</f>
        <v/>
      </c>
      <c r="M25" s="22">
        <f>M9+M18</f>
        <v/>
      </c>
      <c r="N25" s="22">
        <f>N9+N18</f>
        <v/>
      </c>
      <c r="O25" s="23">
        <f>SUM(C25:N25)</f>
        <v/>
      </c>
    </row>
    <row r="26">
      <c r="B26" t="inlineStr">
        <is>
          <t>Инвестиционный денежный поток</t>
        </is>
      </c>
      <c r="C26" s="22">
        <f>C21+C22</f>
        <v/>
      </c>
      <c r="D26" s="22">
        <f>D21+D22</f>
        <v/>
      </c>
      <c r="E26" s="22">
        <f>E21+E22</f>
        <v/>
      </c>
      <c r="F26" s="22">
        <f>F21+F22</f>
        <v/>
      </c>
      <c r="G26" s="22">
        <f>G21+G22</f>
        <v/>
      </c>
      <c r="H26" s="22">
        <f>H21+H22</f>
        <v/>
      </c>
      <c r="I26" s="22">
        <f>I21+I22</f>
        <v/>
      </c>
      <c r="J26" s="22">
        <f>J21+J22</f>
        <v/>
      </c>
      <c r="K26" s="22">
        <f>K21+K22</f>
        <v/>
      </c>
      <c r="L26" s="22">
        <f>L21+L22</f>
        <v/>
      </c>
      <c r="M26" s="22">
        <f>M21+M22</f>
        <v/>
      </c>
      <c r="N26" s="22">
        <f>N21+N22</f>
        <v/>
      </c>
      <c r="O26" s="23">
        <f>SUM(C26:N26)</f>
        <v/>
      </c>
    </row>
    <row r="27">
      <c r="B27" t="inlineStr">
        <is>
          <t>ЧИСТЫЙ ДЕНЕЖНЫЙ ПОТОК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SUM(C27:N27)</f>
        <v/>
      </c>
    </row>
    <row r="29">
      <c r="B29" t="inlineStr">
        <is>
          <t>Накопительный денежный поток</t>
        </is>
      </c>
      <c r="C29" s="23">
        <f>C27</f>
        <v/>
      </c>
      <c r="D29" s="23">
        <f>C29+D27</f>
        <v/>
      </c>
      <c r="E29" s="23">
        <f>D29+E27</f>
        <v/>
      </c>
      <c r="F29" s="23">
        <f>E29+F27</f>
        <v/>
      </c>
      <c r="G29" s="23">
        <f>F29+G27</f>
        <v/>
      </c>
      <c r="H29" s="23">
        <f>G29+H27</f>
        <v/>
      </c>
      <c r="I29" s="23">
        <f>H29+I27</f>
        <v/>
      </c>
      <c r="J29" s="23">
        <f>I29+J27</f>
        <v/>
      </c>
      <c r="K29" s="23">
        <f>J29+K27</f>
        <v/>
      </c>
      <c r="L29" s="23">
        <f>K29+L27</f>
        <v/>
      </c>
      <c r="M29" s="23">
        <f>L29+M27</f>
        <v/>
      </c>
      <c r="N29" s="23">
        <f>M29+N27</f>
        <v/>
      </c>
    </row>
  </sheetData>
  <mergeCells count="1">
    <mergeCell ref="B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B1:I5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5" customWidth="1" min="4" max="4"/>
    <col width="25" customWidth="1" min="5" max="5"/>
    <col width="20" customWidth="1" min="6" max="6"/>
    <col width="5" customWidth="1" min="7" max="7"/>
    <col width="25" customWidth="1" min="8" max="8"/>
    <col width="20" customWidth="1" min="9" max="9"/>
  </cols>
  <sheetData>
    <row r="1">
      <c r="B1" s="1" t="inlineStr">
        <is>
          <t>DASHBOARD — Панель управления VoyageRent</t>
        </is>
      </c>
    </row>
    <row r="3">
      <c r="B3" s="32" t="inlineStr">
        <is>
          <t>Автопарк</t>
        </is>
      </c>
      <c r="C3" s="33" t="inlineStr"/>
      <c r="E3" s="32" t="inlineStr">
        <is>
          <t>Загрузка</t>
        </is>
      </c>
      <c r="F3" s="33" t="inlineStr"/>
      <c r="H3" s="32" t="inlineStr">
        <is>
          <t>Цена аренды / день</t>
        </is>
      </c>
      <c r="I3" s="33" t="inlineStr"/>
    </row>
    <row r="4">
      <c r="B4" s="34" t="inlineStr"/>
      <c r="C4" s="35">
        <f>INPUTS!C6</f>
        <v/>
      </c>
      <c r="E4" s="34" t="inlineStr"/>
      <c r="F4" s="36">
        <f>INPUTS!C14</f>
        <v/>
      </c>
      <c r="H4" s="34" t="inlineStr"/>
      <c r="I4" s="37">
        <f>INPUTS!C12</f>
        <v/>
      </c>
    </row>
    <row r="6">
      <c r="B6" s="32" t="inlineStr">
        <is>
          <t>Выручка (год, net)</t>
        </is>
      </c>
      <c r="C6" s="33" t="n"/>
      <c r="E6" s="32" t="inlineStr">
        <is>
          <t>EBITDA (год)</t>
        </is>
      </c>
      <c r="F6" s="33" t="n"/>
      <c r="H6" s="32" t="inlineStr">
        <is>
          <t>Чистая прибыль (год)</t>
        </is>
      </c>
      <c r="I6" s="33" t="n"/>
    </row>
    <row r="7">
      <c r="B7" s="34" t="n"/>
      <c r="C7" s="38">
        <f>'P&amp;L'!C8</f>
        <v/>
      </c>
      <c r="E7" s="34" t="n"/>
      <c r="F7" s="38">
        <f>'P&amp;L'!C31</f>
        <v/>
      </c>
      <c r="H7" s="34" t="n"/>
      <c r="I7" s="38">
        <f>'P&amp;L'!C39</f>
        <v/>
      </c>
    </row>
    <row r="9">
      <c r="B9" s="32" t="inlineStr">
        <is>
          <t>Доход на 1 авто (мес)</t>
        </is>
      </c>
      <c r="C9" s="33" t="n"/>
      <c r="E9" s="32" t="inlineStr">
        <is>
          <t>Прибыль на 1 авто (мес)</t>
        </is>
      </c>
      <c r="F9" s="33" t="n"/>
      <c r="H9" s="32" t="inlineStr">
        <is>
          <t>Срок окупаемости авто</t>
        </is>
      </c>
      <c r="I9" s="33" t="n"/>
    </row>
    <row r="10">
      <c r="B10" s="34" t="n"/>
      <c r="C10" s="37">
        <f>'UNIT ECONOMICS'!C10</f>
        <v/>
      </c>
      <c r="E10" s="34" t="n"/>
      <c r="F10" s="37">
        <f>'UNIT ECONOMICS'!C24</f>
        <v/>
      </c>
      <c r="H10" s="34" t="n"/>
      <c r="I10" s="39">
        <f>'UNIT ECONOMICS'!C31</f>
        <v/>
      </c>
    </row>
    <row r="12">
      <c r="B12" s="32" t="inlineStr">
        <is>
          <t>ROI на автомобиль</t>
        </is>
      </c>
      <c r="C12" s="33" t="n"/>
      <c r="E12" s="32" t="inlineStr">
        <is>
          <t>Маржа EBITDA</t>
        </is>
      </c>
      <c r="F12" s="33" t="n"/>
      <c r="H12" s="32" t="inlineStr">
        <is>
          <t>Аренд в день (флот)</t>
        </is>
      </c>
      <c r="I12" s="33" t="n"/>
    </row>
    <row r="13">
      <c r="B13" s="34" t="n"/>
      <c r="C13" s="36">
        <f>'UNIT ECONOMICS'!C32</f>
        <v/>
      </c>
      <c r="E13" s="34" t="n"/>
      <c r="F13" s="36">
        <f>'P&amp;L'!D32</f>
        <v/>
      </c>
      <c r="H13" s="34" t="n"/>
      <c r="I13" s="40">
        <f>'FLEET PERFORMANCE'!C14</f>
        <v/>
      </c>
    </row>
    <row r="50">
      <c r="B50" t="inlineStr">
        <is>
          <t>COGS</t>
        </is>
      </c>
      <c r="C50">
        <f>'P&amp;L'!C17</f>
        <v/>
      </c>
    </row>
    <row r="51">
      <c r="B51" t="inlineStr">
        <is>
          <t>OPEX</t>
        </is>
      </c>
      <c r="C51">
        <f>'P&amp;L'!C29</f>
        <v/>
      </c>
    </row>
    <row r="52">
      <c r="B52" t="inlineStr">
        <is>
          <t>Налоги</t>
        </is>
      </c>
      <c r="C52">
        <f>'P&amp;L'!C37</f>
        <v/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  <col width="5" customWidth="1" min="6" max="6"/>
    <col width="35" customWidth="1" min="7" max="7"/>
  </cols>
  <sheetData>
    <row r="1">
      <c r="B1" s="1" t="inlineStr">
        <is>
          <t>SCENARIOS — Сценарный анализ</t>
        </is>
      </c>
    </row>
    <row r="2">
      <c r="B2" s="2" t="inlineStr">
        <is>
          <t>Измените параметры сценариев и сравните результаты</t>
        </is>
      </c>
    </row>
    <row r="4">
      <c r="A4" s="4" t="n"/>
      <c r="B4" s="4" t="inlineStr">
        <is>
          <t>ПАРАМЕТРЫ СЦЕНАРИЕВ</t>
        </is>
      </c>
      <c r="C4" s="4" t="n"/>
      <c r="D4" s="4" t="n"/>
      <c r="E4" s="4" t="n"/>
    </row>
    <row r="5">
      <c r="A5" s="41" t="n"/>
      <c r="B5" s="41" t="inlineStr">
        <is>
          <t>Параметр</t>
        </is>
      </c>
      <c r="C5" s="41" t="inlineStr">
        <is>
          <t>Pessimistic</t>
        </is>
      </c>
      <c r="D5" s="41" t="inlineStr">
        <is>
          <t>Base</t>
        </is>
      </c>
      <c r="E5" s="41" t="inlineStr">
        <is>
          <t>Optimistic</t>
        </is>
      </c>
    </row>
    <row r="6">
      <c r="B6" s="5" t="inlineStr">
        <is>
          <t>Количество автомобилей</t>
        </is>
      </c>
      <c r="C6" s="9" t="n">
        <v>80</v>
      </c>
      <c r="D6" s="9">
        <f>INPUTS!C6</f>
        <v/>
      </c>
      <c r="E6" s="9" t="n">
        <v>130</v>
      </c>
    </row>
    <row r="7">
      <c r="B7" s="5" t="inlineStr">
        <is>
          <t>Цена аренды (€/день)</t>
        </is>
      </c>
      <c r="C7" s="9" t="n">
        <v>35</v>
      </c>
      <c r="D7" s="9">
        <f>INPUTS!C12</f>
        <v/>
      </c>
      <c r="E7" s="9" t="n">
        <v>55</v>
      </c>
    </row>
    <row r="8">
      <c r="B8" s="5" t="inlineStr">
        <is>
          <t>Загрузка (%)</t>
        </is>
      </c>
      <c r="C8" s="10" t="n">
        <v>0.5</v>
      </c>
      <c r="D8" s="10">
        <f>INPUTS!C14</f>
        <v/>
      </c>
      <c r="E8" s="10" t="n">
        <v>0.8</v>
      </c>
    </row>
    <row r="9">
      <c r="B9" s="5" t="inlineStr">
        <is>
          <t>Аренд в месяц (на 1 авто)</t>
        </is>
      </c>
      <c r="C9" s="9" t="n">
        <v>3</v>
      </c>
      <c r="D9" s="9">
        <f>INPUTS!C15</f>
        <v/>
      </c>
      <c r="E9" s="9" t="n">
        <v>5</v>
      </c>
    </row>
    <row r="10">
      <c r="B10" s="5" t="inlineStr">
        <is>
          <t>Комиссия агрегаторов (%)</t>
        </is>
      </c>
      <c r="C10" s="10" t="n">
        <v>0.2</v>
      </c>
      <c r="D10" s="10">
        <f>INPUTS!C16</f>
        <v/>
      </c>
      <c r="E10" s="10" t="n">
        <v>0.1</v>
      </c>
    </row>
    <row r="12">
      <c r="A12" s="4" t="n"/>
      <c r="B12" s="4" t="inlineStr">
        <is>
          <t>РЕЗУЛЬТАТЫ СЦЕНАРИЕВ</t>
        </is>
      </c>
      <c r="C12" s="4" t="n"/>
      <c r="D12" s="4" t="n"/>
      <c r="E12" s="4" t="n"/>
    </row>
    <row r="13">
      <c r="A13" s="11" t="n"/>
      <c r="B13" s="11" t="inlineStr">
        <is>
          <t>Показатель</t>
        </is>
      </c>
      <c r="C13" s="11" t="inlineStr">
        <is>
          <t>Pessimistic</t>
        </is>
      </c>
      <c r="D13" s="11" t="inlineStr">
        <is>
          <t>Base</t>
        </is>
      </c>
      <c r="E13" s="11" t="inlineStr">
        <is>
          <t>Optimistic</t>
        </is>
      </c>
    </row>
    <row r="14">
      <c r="A14" s="5" t="n"/>
      <c r="B14" s="5" t="inlineStr">
        <is>
          <t>Доход за 1 аренду</t>
        </is>
      </c>
      <c r="C14" s="12">
        <f>C7*INPUTS!C13</f>
        <v/>
      </c>
      <c r="D14" s="12">
        <f>D7*INPUTS!C13</f>
        <v/>
      </c>
      <c r="E14" s="12">
        <f>E7*INPUTS!C13</f>
        <v/>
      </c>
    </row>
    <row r="15">
      <c r="A15" s="5" t="n"/>
      <c r="B15" s="5" t="inlineStr">
        <is>
          <t>Мес. доход на авто (gross)</t>
        </is>
      </c>
      <c r="C15" s="12">
        <f>C14*C9</f>
        <v/>
      </c>
      <c r="D15" s="12">
        <f>D14*D9</f>
        <v/>
      </c>
      <c r="E15" s="12">
        <f>E14*E9</f>
        <v/>
      </c>
    </row>
    <row r="16">
      <c r="A16" s="5" t="n"/>
      <c r="B16" s="5" t="inlineStr">
        <is>
          <t>Мес. доход на авто (net)</t>
        </is>
      </c>
      <c r="C16" s="12">
        <f>C15*(1-C10)</f>
        <v/>
      </c>
      <c r="D16" s="12">
        <f>D15*(1-D10)</f>
        <v/>
      </c>
      <c r="E16" s="12">
        <f>E15*(1-E10)</f>
        <v/>
      </c>
    </row>
    <row r="17">
      <c r="A17" s="5" t="n"/>
      <c r="B17" s="5" t="inlineStr">
        <is>
          <t>Мес. расходы на авто</t>
        </is>
      </c>
      <c r="C17" s="12">
        <f>'UNIT ECONOMICS'!C20</f>
        <v/>
      </c>
      <c r="D17" s="12">
        <f>'UNIT ECONOMICS'!C20</f>
        <v/>
      </c>
      <c r="E17" s="12">
        <f>'UNIT ECONOMICS'!C20</f>
        <v/>
      </c>
    </row>
    <row r="18">
      <c r="A18" s="5" t="n"/>
      <c r="B18" s="5" t="inlineStr">
        <is>
          <t>Валовая прибыль на авто (мес)</t>
        </is>
      </c>
      <c r="C18" s="12">
        <f>C16-C17</f>
        <v/>
      </c>
      <c r="D18" s="12">
        <f>D16-D17</f>
        <v/>
      </c>
      <c r="E18" s="12">
        <f>E16-E17</f>
        <v/>
      </c>
    </row>
    <row r="19">
      <c r="A19" s="5" t="n"/>
      <c r="B19" s="5" t="inlineStr">
        <is>
          <t>Выручка флота (год, net)</t>
        </is>
      </c>
      <c r="C19" s="42">
        <f>C16*C6*12</f>
        <v/>
      </c>
      <c r="D19" s="42">
        <f>D16*D6*12</f>
        <v/>
      </c>
      <c r="E19" s="42">
        <f>E16*E6*12</f>
        <v/>
      </c>
    </row>
    <row r="20">
      <c r="A20" s="5" t="n"/>
      <c r="B20" s="5" t="inlineStr">
        <is>
          <t>Расходы на флот (год)</t>
        </is>
      </c>
      <c r="C20" s="42">
        <f>C17*C6*12</f>
        <v/>
      </c>
      <c r="D20" s="42">
        <f>D17*D6*12</f>
        <v/>
      </c>
      <c r="E20" s="42">
        <f>E17*E6*12</f>
        <v/>
      </c>
    </row>
    <row r="21">
      <c r="A21" s="5" t="n"/>
      <c r="B21" s="5" t="inlineStr">
        <is>
          <t>OPEX (год)</t>
        </is>
      </c>
      <c r="C21" s="42">
        <f>'P&amp;L'!C29</f>
        <v/>
      </c>
      <c r="D21" s="42">
        <f>'P&amp;L'!C29</f>
        <v/>
      </c>
      <c r="E21" s="42">
        <f>'P&amp;L'!C29</f>
        <v/>
      </c>
    </row>
    <row r="22">
      <c r="A22" s="5" t="n"/>
      <c r="B22" s="5" t="inlineStr">
        <is>
          <t>EBITDA (год)</t>
        </is>
      </c>
      <c r="C22" s="43">
        <f>C19-C20-C21</f>
        <v/>
      </c>
      <c r="D22" s="43">
        <f>D19-D20-D21</f>
        <v/>
      </c>
      <c r="E22" s="43">
        <f>E19-E20-E21</f>
        <v/>
      </c>
    </row>
    <row r="23">
      <c r="A23" s="5" t="n"/>
      <c r="B23" s="5" t="inlineStr">
        <is>
          <t>Чистая прибыль (год)</t>
        </is>
      </c>
      <c r="C23" s="43">
        <f>C22*(1-INPUTS!C42)</f>
        <v/>
      </c>
      <c r="D23" s="43">
        <f>D22*(1-INPUTS!C42)</f>
        <v/>
      </c>
      <c r="E23" s="43">
        <f>E22*(1-INPUTS!C42)</f>
        <v/>
      </c>
    </row>
    <row r="24">
      <c r="A24" s="5" t="n"/>
      <c r="B24" s="5" t="inlineStr">
        <is>
          <t>Маржа EBITDA</t>
        </is>
      </c>
      <c r="C24" s="14">
        <f>IF(C19&gt;0,C22/C19,0)</f>
        <v/>
      </c>
      <c r="D24" s="14">
        <f>IF(D19&gt;0,D22/D19,0)</f>
        <v/>
      </c>
      <c r="E24" s="14">
        <f>IF(E19&gt;0,E22/E19,0)</f>
        <v/>
      </c>
    </row>
    <row r="25">
      <c r="A25" s="5" t="n"/>
      <c r="B25" s="5" t="inlineStr">
        <is>
          <t>Срок окупаемости авто (мес)</t>
        </is>
      </c>
      <c r="C25" s="15">
        <f>IF(C18&gt;0,INPUTS!C7*(1-INPUTS!C9)/C18,"N/A")</f>
        <v/>
      </c>
      <c r="D25" s="15">
        <f>IF(D18&gt;0,INPUTS!C7*(1-INPUTS!C9)/D18,"N/A")</f>
        <v/>
      </c>
      <c r="E25" s="15">
        <f>IF(E18&gt;0,INPUTS!C7*(1-INPUTS!C9)/E18,"N/A")</f>
        <v/>
      </c>
    </row>
    <row r="26">
      <c r="A26" s="5" t="n"/>
      <c r="B26" s="5" t="inlineStr">
        <is>
          <t>ROI на автомобиль (год)</t>
        </is>
      </c>
      <c r="C26" s="14">
        <f>IF(INPUTS!C7&gt;0,C18*12/INPUTS!C7,0)</f>
        <v/>
      </c>
      <c r="D26" s="14">
        <f>IF(INPUTS!C7&gt;0,D18*12/INPUTS!C7,0)</f>
        <v/>
      </c>
      <c r="E26" s="14">
        <f>IF(INPUTS!C7&gt;0,E18*12/INPUTS!C7,0)</f>
        <v/>
      </c>
    </row>
  </sheetData>
  <mergeCells count="2">
    <mergeCell ref="B1:E1"/>
    <mergeCell ref="B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2026-03-16T13:18:31Z</dcterms:created>
  <dcterms:modified xsi:type="dcterms:W3CDTF">2026-03-16T13:18:31Z</dcterms:modified>
</cp:coreProperties>
</file>